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krlos\Desktop\Macro\"/>
    </mc:Choice>
  </mc:AlternateContent>
  <xr:revisionPtr revIDLastSave="0" documentId="8_{A1808BCC-5CD5-4E27-A1A7-172CBB34C329}" xr6:coauthVersionLast="47" xr6:coauthVersionMax="47" xr10:uidLastSave="{00000000-0000-0000-0000-000000000000}"/>
  <bookViews>
    <workbookView xWindow="-108" yWindow="-108" windowWidth="23256" windowHeight="12456" activeTab="1" xr2:uid="{00000000-000D-0000-FFFF-FFFF00000000}"/>
  </bookViews>
  <sheets>
    <sheet name="Portada" sheetId="1" r:id="rId1"/>
    <sheet name="E1 Producción" sheetId="2" r:id="rId2"/>
    <sheet name="E2 Gasto" sheetId="3" r:id="rId3"/>
    <sheet name="E3 Ingreso" sheetId="4" r:id="rId4"/>
    <sheet name="E4 Tres enfoques" sheetId="5" r:id="rId5"/>
    <sheet name="E5 Guatemala"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6" l="1"/>
  <c r="F18" i="6"/>
  <c r="F17" i="6"/>
  <c r="F16" i="6"/>
  <c r="F15" i="6"/>
  <c r="E19" i="6"/>
  <c r="E18" i="6"/>
  <c r="E17" i="6"/>
  <c r="E16" i="6"/>
  <c r="E15" i="6"/>
  <c r="D44" i="5"/>
  <c r="D45" i="5"/>
  <c r="C37" i="5"/>
  <c r="D32" i="5" l="1"/>
  <c r="C14" i="4"/>
  <c r="D9" i="4" s="1"/>
  <c r="G9" i="4"/>
  <c r="G10" i="4" s="1"/>
  <c r="G10" i="3"/>
  <c r="E21" i="3" s="1"/>
  <c r="G9" i="3"/>
  <c r="E19" i="3" s="1"/>
  <c r="C21" i="2"/>
  <c r="E26" i="2" s="1"/>
  <c r="C13" i="2"/>
  <c r="D13" i="2"/>
  <c r="E12" i="2"/>
  <c r="F12" i="2" s="1"/>
  <c r="E11" i="2"/>
  <c r="F11" i="2" s="1"/>
  <c r="E10" i="2"/>
  <c r="F10" i="2" s="1"/>
  <c r="E9" i="2"/>
  <c r="F9" i="2" s="1"/>
  <c r="F20" i="6" l="1"/>
  <c r="G15" i="3"/>
  <c r="E25" i="3" s="1"/>
  <c r="D10" i="4"/>
  <c r="D12" i="4"/>
  <c r="D14" i="4"/>
  <c r="D11" i="4"/>
  <c r="D13" i="4"/>
  <c r="G11" i="3"/>
  <c r="E23" i="3" s="1"/>
  <c r="E13" i="2"/>
  <c r="E24" i="2" s="1"/>
  <c r="G16" i="3" l="1"/>
  <c r="F13" i="2"/>
  <c r="G11" i="2"/>
  <c r="G10" i="2"/>
  <c r="G12" i="2"/>
  <c r="G13" i="2"/>
  <c r="C15" i="2"/>
  <c r="E28" i="2" s="1"/>
  <c r="G9" i="2"/>
  <c r="H16" i="3" l="1"/>
</calcChain>
</file>

<file path=xl/sharedStrings.xml><?xml version="1.0" encoding="utf-8"?>
<sst xmlns="http://schemas.openxmlformats.org/spreadsheetml/2006/main" count="202" uniqueCount="185">
  <si>
    <t>TAREA DE APLICACIÓN</t>
  </si>
  <si>
    <t>MEDICIÓN DEL PRODUCTO INTERNO BRUTO</t>
  </si>
  <si>
    <t>Producción · Gasto · Ingreso · Lectura del PIB de Guatemala
Formato de trabajo para desarrollar procedimientos, resultados e interpretaciones.</t>
  </si>
  <si>
    <t>DATOS DEL ESTUDIANTE</t>
  </si>
  <si>
    <t>Nombre</t>
  </si>
  <si>
    <t>Carné</t>
  </si>
  <si>
    <t>Fecha</t>
  </si>
  <si>
    <t>Sección / grupo</t>
  </si>
  <si>
    <t>CÓMO UTILIZAR ESTE ARCHIVO</t>
  </si>
  <si>
    <t>1. Use las celdas crema para desarrollar cálculos, completar resultados o ingresar datos del Banco de Guatemala.</t>
  </si>
  <si>
    <t>2. Mantenga un procedimiento legible. La tarea evalúa cálculo e interpretación, no únicamente la respuesta final.</t>
  </si>
  <si>
    <t>3. Los bloques azul claro son espacios para redactar interpretación económica y reflexión.</t>
  </si>
  <si>
    <t>4. En el ejercicio 5 registre la fuente exacta, la fecha de consulta y el PIB total utilizado como denominador.</t>
  </si>
  <si>
    <t>5. Entregue este archivo.</t>
  </si>
  <si>
    <t>RECORRIDO DE LA TAREA</t>
  </si>
  <si>
    <t>01
PRODUCCIÓN
VAB y estructura</t>
  </si>
  <si>
    <t>02
GASTO
C + I + G + (X − M)</t>
  </si>
  <si>
    <t>03
INGRESO
Distribución primaria</t>
  </si>
  <si>
    <t>04
TRES ENFOQUES
Identidades y variables faltantes</t>
  </si>
  <si>
    <t>05
GUATEMALA
Estructura productiva real</t>
  </si>
  <si>
    <t>LEYENDA VISUAL</t>
  </si>
  <si>
    <t>COMPLETAR
por el estudiante</t>
  </si>
  <si>
    <t>INTERPRETAR
comentario / reflexión</t>
  </si>
  <si>
    <t>RECORDAR
fórmula o idea conceptual</t>
  </si>
  <si>
    <t>01  ·  PIB POR EL ENFOQUE DE LA PRODUCCIÓN</t>
  </si>
  <si>
    <t>Calcule el VAB por actividad, el VAB total, los impuestos netos y el PIB.</t>
  </si>
  <si>
    <t>DATOS Y CÁLCULOS</t>
  </si>
  <si>
    <t>Actividad económica</t>
  </si>
  <si>
    <t>VBP</t>
  </si>
  <si>
    <t>Consumo intermedio</t>
  </si>
  <si>
    <t>VAB</t>
  </si>
  <si>
    <t>% del VAB total</t>
  </si>
  <si>
    <t>Agricultura</t>
  </si>
  <si>
    <t>Industrias manufactureras</t>
  </si>
  <si>
    <t>Construcción</t>
  </si>
  <si>
    <t>Comercio y otros servicios</t>
  </si>
  <si>
    <t>DATOS ADICIONALES</t>
  </si>
  <si>
    <t>Impuestos sobre los productos</t>
  </si>
  <si>
    <t>Subvenciones sobre los productos</t>
  </si>
  <si>
    <t>RESULTADOS DE CIERRE</t>
  </si>
  <si>
    <t>VAB total</t>
  </si>
  <si>
    <t>Impuestos netos sobre los productos</t>
  </si>
  <si>
    <t>PIB por el enfoque de la producción</t>
  </si>
  <si>
    <t>PROCEDIMIENTO</t>
  </si>
  <si>
    <t>RECORDATORIO CONCEPTUAL</t>
  </si>
  <si>
    <t>VABᵢ = Producciónᵢ − Consumo intermedioᵢ
PIB = Σ VABᵢ + impuestos netos sobre los productos</t>
  </si>
  <si>
    <t>02  ·  PIB POR EL ENFOQUE DEL GASTO</t>
  </si>
  <si>
    <t>Determine inversión agregada, exportaciones netas, PIB y el efecto de un cambio en el consumo.</t>
  </si>
  <si>
    <t>COMPONENTES DEL GASTO</t>
  </si>
  <si>
    <t>Componente</t>
  </si>
  <si>
    <t>Millones de Q</t>
  </si>
  <si>
    <t>Consumo final de los hogares</t>
  </si>
  <si>
    <t>Gasto de consumo final del gobierno</t>
  </si>
  <si>
    <t>Formación bruta de capital fijo</t>
  </si>
  <si>
    <t>Variación de existencias</t>
  </si>
  <si>
    <t>Exportaciones de bienes y servicios</t>
  </si>
  <si>
    <t>Importaciones de bienes y servicios</t>
  </si>
  <si>
    <t>RESULTADOS</t>
  </si>
  <si>
    <t>Inversión agregada (I)</t>
  </si>
  <si>
    <t>Exportaciones netas (X − M)</t>
  </si>
  <si>
    <t>PIB por el enfoque del gasto</t>
  </si>
  <si>
    <t>Nuevo PIB si C aumenta Q250 millones</t>
  </si>
  <si>
    <t>Desarrolle aquí:
• I = FBCF + ΔE
• X − M
• PIB = C + I + G + (X − M)
• nuevo PIB cuando el consumo aumenta Q250 millones.</t>
  </si>
  <si>
    <t>RECORDATORIO</t>
  </si>
  <si>
    <t>I = FBCF + ΔE       |       PIB = C + I + G + (X − M)</t>
  </si>
  <si>
    <t>Interpretación: explique (a) por qué las importaciones se restan en la identidad del gasto y (b) qué significa económicamente una variación de existencias negativa.</t>
  </si>
  <si>
    <t>03  ·  PIB POR EL ENFOQUE DEL INGRESO</t>
  </si>
  <si>
    <t>Calcule impuestos netos, PIB y la participación de los principales componentes del ingreso.</t>
  </si>
  <si>
    <t>COMPONENTES DEL INGRESO</t>
  </si>
  <si>
    <t>Componente del ingreso</t>
  </si>
  <si>
    <t>Participación en el PIB</t>
  </si>
  <si>
    <t>Remuneración de asalariados</t>
  </si>
  <si>
    <t>Excedente bruto de explotación</t>
  </si>
  <si>
    <t>Ingreso mixto bruto</t>
  </si>
  <si>
    <t>Impuestos sobre la producción y las importaciones</t>
  </si>
  <si>
    <t>Subvenciones</t>
  </si>
  <si>
    <t>Impuestos netos de subvenciones</t>
  </si>
  <si>
    <t>PIB por el enfoque del ingreso</t>
  </si>
  <si>
    <t>Desarrolle las operaciones para:
• impuestos netos de subvenciones;
• PIB por el enfoque del ingreso;
• participación de RA, EBE e ingreso mixto dentro del PIB.</t>
  </si>
  <si>
    <t>PIB = RA + EBE + IMB + impuestos netos
Participación = componente / PIB</t>
  </si>
  <si>
    <t>Interpretación: ¿qué representa el ingreso mixto y por qué puede ser particularmente relevante en economías con una presencia importante de trabajadores por cuenta propia y pequeños negocios familiares?</t>
  </si>
  <si>
    <t>04  ·  UNA ECONOMÍA, TRES ENFOQUES</t>
  </si>
  <si>
    <t>Recupere las variables faltantes y compruebe que producción, gasto e ingreso describen el mismo PIB.</t>
  </si>
  <si>
    <t>PIB CONOCIDO POR PRODUCCIÓN</t>
  </si>
  <si>
    <t>PIB por producción</t>
  </si>
  <si>
    <t>Q 9,000 millones</t>
  </si>
  <si>
    <t>ENFOQUE DEL GASTO</t>
  </si>
  <si>
    <t>ENFOQUE DEL INGRESO</t>
  </si>
  <si>
    <t>Consumo de los hogares</t>
  </si>
  <si>
    <t>Inversión</t>
  </si>
  <si>
    <t>Gasto del gobierno</t>
  </si>
  <si>
    <t>Ingreso mixto</t>
  </si>
  <si>
    <t>Exportaciones</t>
  </si>
  <si>
    <t>Impuestos netos</t>
  </si>
  <si>
    <t>Importaciones</t>
  </si>
  <si>
    <t>VARIABLES A RECUPERAR</t>
  </si>
  <si>
    <t>Importaciones (M)</t>
  </si>
  <si>
    <t>Excedente bruto de explotación (EBE)</t>
  </si>
  <si>
    <t>Verificación de identidad</t>
  </si>
  <si>
    <t>PIB producción = PIB gasto = PIB ingreso</t>
  </si>
  <si>
    <t>Muestre el despeje de las importaciones mediante la identidad del gasto y el despeje del EBE mediante la identidad del ingreso. Luego compruebe numéricamente que los tres enfoques conducen al mismo PIB.</t>
  </si>
  <si>
    <t>IDEA CENTRAL</t>
  </si>
  <si>
    <t>PIB₍producción₎ = PIB₍gasto₎ = PIB₍ingreso₎</t>
  </si>
  <si>
    <t>Explique por qué esta igualdad conceptual no implica que los tres enfoques utilicen exactamente las mismas fuentes estadísticas.</t>
  </si>
  <si>
    <t>Reflexión: si en la práctica las estimaciones de distintas fuentes presentan discrepancias estadísticas, ¿significa necesariamente que alguno de los tres enfoques está conceptualmente equivocado? Fundamente.</t>
  </si>
  <si>
    <t>05  ·  LECTURA DEL PIB DE GUATEMALA POR ACTIVIDAD ECONÓMICA</t>
  </si>
  <si>
    <t>Use información oficial del Banco de Guatemala para describir peso económico y variación reciente.</t>
  </si>
  <si>
    <t>TRAZABILIDAD DE LA INFORMACIÓN</t>
  </si>
  <si>
    <t>Nombre exacto del cuadro</t>
  </si>
  <si>
    <t>PIB total 2024 a precios corrientes</t>
  </si>
  <si>
    <t>Fecha de consulta</t>
  </si>
  <si>
    <t>URL / ruta de consulta</t>
  </si>
  <si>
    <t>ACTIVIDADES SELECCIONADAS</t>
  </si>
  <si>
    <t>VAB 2023</t>
  </si>
  <si>
    <t>VAB 2024</t>
  </si>
  <si>
    <t>Variación del valor (%)</t>
  </si>
  <si>
    <t>Participación PIB 2024 (%)</t>
  </si>
  <si>
    <t>Agricultura, ganadería, silvicultura y pesca</t>
  </si>
  <si>
    <t>Comercio y reparación de vehículos</t>
  </si>
  <si>
    <t>Actividad seleccionada por el estudiante</t>
  </si>
  <si>
    <t>FÓRMULAS A UTILIZAR</t>
  </si>
  <si>
    <t>Variaciónᵢ = (VABᵢ,2024 / VABᵢ,2023 − 1) × 100
Participaciónᵢ = (VABᵢ,2024 / PIB₂₀₂₄) × 100
Use valores a precios corrientes para calcular participaciones.</t>
  </si>
  <si>
    <t>LECTURA DE LOS RESULTADOS</t>
  </si>
  <si>
    <t>Actividad con mayor participación dentro del PIB:</t>
  </si>
  <si>
    <t>Actividad con mayor variación entre 2023 y 2024:</t>
  </si>
  <si>
    <t>1. ¿La actividad con mayor participación en el PIB es necesariamente la que presenta la mayor variación? Explique la diferencia entre peso económico y dinamismo.</t>
  </si>
  <si>
    <t>2. Compare dos actividades seleccionadas. ¿Qué diferencias observa en su importancia relativa y comportamiento reciente?</t>
  </si>
  <si>
    <t>3. Si el PIB total aumenta mientras una actividad disminuye, ¿existe contradicción? Además, ¿qué precaución debe tener al interpretar variaciones calculadas con valores corrientes?</t>
  </si>
  <si>
    <t>Total</t>
  </si>
  <si>
    <t>Impuestos Netos</t>
  </si>
  <si>
    <t>PIB</t>
  </si>
  <si>
    <t>VAB TOTAL = (SUMATORIA VAB EN TODOS LOS RUBROS)               IMPUESTOS NET0S = 420-40    PIB= 4,440+380</t>
  </si>
  <si>
    <r>
      <rPr>
        <b/>
        <sz val="10"/>
        <color rgb="FF164873"/>
        <rFont val="Carlito"/>
      </rPr>
      <t>Interpretación (máximo cinco líneas): ¿por qué sería incorrecto sumar directamente el VBP de las cuatro actividades? ¿Cuál actividad genera la mayor proporción del valor agregado?</t>
    </r>
    <r>
      <rPr>
        <sz val="10"/>
        <color rgb="FF164873"/>
        <rFont val="Carlito"/>
      </rPr>
      <t xml:space="preserve">  </t>
    </r>
  </si>
  <si>
    <t>1. Sería incorrecto porque se estaría duplicando el consumo intermedio.                                                                                                                                                                                                                                            2. La actividad que genera la mayor proporción del valor agregado es Comercio y otros servicios, con Q1,350 millones lo que representa el 33.25%</t>
  </si>
  <si>
    <t>C</t>
  </si>
  <si>
    <t>G</t>
  </si>
  <si>
    <t>E</t>
  </si>
  <si>
    <t>FBCF</t>
  </si>
  <si>
    <t>X</t>
  </si>
  <si>
    <t>M</t>
  </si>
  <si>
    <t>1. Inversión agregada</t>
  </si>
  <si>
    <t>2. Exportación neta</t>
  </si>
  <si>
    <t>3. PIB del gasto</t>
  </si>
  <si>
    <t>4. Aumento en los hogares</t>
  </si>
  <si>
    <t>C nuevo  5100+250</t>
  </si>
  <si>
    <t>Nuevo PIB</t>
  </si>
  <si>
    <t>Aumento en PIB</t>
  </si>
  <si>
    <t>RESOLUCIÓN</t>
  </si>
  <si>
    <t>a) Las importaciones se restan porque son bienes y servicios producidos en otros países. Aunque pueden estar incluidos en el consumo, la inversión o el gasto público, no representan producción interna, por lo que deben descontarse para calcular  el PIB.
b) Una variación de existencias negativa significa que las empresas vendieron más bienes de los que produjeron durante un período, por lo que utilizaron parte de sus inventarios acumulados. Esto reduce la inversión agregada.</t>
  </si>
  <si>
    <t>RESOLUCION</t>
  </si>
  <si>
    <t>1. Impuestos netos</t>
  </si>
  <si>
    <t>2. PIB por ingreso</t>
  </si>
  <si>
    <t>El ingreso mixto representa los ingresos de los trabajadores independientes y empresas familiares, donde se combinan pago al trabajo y retorno al capital. Es esencial en economías con gran presencia de este tipo de agentes, porque permite contabilizar la actividad de un sector que de otro modo quedaría sin registrarse, ya que no se puede separar fácilmente cuánto proviene del esfuerzo laboral y cuánto de los bienes invertidos.</t>
  </si>
  <si>
    <t>1. Importaciones</t>
  </si>
  <si>
    <t>PIB= C+I+G+X-M</t>
  </si>
  <si>
    <t xml:space="preserve">PIB=  </t>
  </si>
  <si>
    <t>9000=9600-M  =</t>
  </si>
  <si>
    <t xml:space="preserve"> </t>
  </si>
  <si>
    <t xml:space="preserve">    Importaciones ascienden a 600mm</t>
  </si>
  <si>
    <t>2. Excente bruto de explotacion</t>
  </si>
  <si>
    <t>EBE= 9000=4300+EBE+1100+500</t>
  </si>
  <si>
    <t>9000=5900+EBE</t>
  </si>
  <si>
    <t>El Excedente Bruto de Explotación es Q 3,100 mm</t>
  </si>
  <si>
    <t>3. Verificación 3 enfoques</t>
  </si>
  <si>
    <t>Enfoque</t>
  </si>
  <si>
    <t>Producción</t>
  </si>
  <si>
    <t>Gasto</t>
  </si>
  <si>
    <t>Ingreso</t>
  </si>
  <si>
    <t>Dato</t>
  </si>
  <si>
    <t>Resultado</t>
  </si>
  <si>
    <t>Operación</t>
  </si>
  <si>
    <t>5200+1800+1500+1100-600</t>
  </si>
  <si>
    <t>4300+3100+1100+500</t>
  </si>
  <si>
    <r>
      <t xml:space="preserve">          Los tres enfoques arrojan </t>
    </r>
    <r>
      <rPr>
        <sz val="10"/>
        <rFont val="Arial"/>
        <family val="2"/>
      </rPr>
      <t>Q 9,000 millones</t>
    </r>
  </si>
  <si>
    <t>Segùn la teorìa recibida en clase, los tres enfoques deben dar el mismo resultado, ya que describen una misma realidad económica desde perspectivas distintas. Sin embargo, en la práctica se consideran fuentes de información distintas, considerando omisiones, subregistros y el màrgen de error. Las estimaciones casi nunca coinciden de manera exacta, dando lugar a la discrepancia estadística.</t>
  </si>
  <si>
    <t>La igualdad conceptual significa que los tres enfoques miden la misma economía, pero cada uno requiere datos distintos. Por ejemplo, uno recopila información sobre lo producido, otro sobre lo gastado y el tercero sobre los ingresos generados. Por eso, aunque en teoría deben coincidir, en la práctica se obtienen de fuentes diferentes —empresas, hogares, gobierno, aduanas—, cada una con sus propias limitaciones, cobertura y grado de precisión.</t>
  </si>
  <si>
    <t>Producto Interno Bruto medido por el Origen de la Producción — Años 2023-2024 (Millones de quetzales de cada año)</t>
  </si>
  <si>
    <t>29 de agosto de 2026</t>
  </si>
  <si>
    <t>https://banguat.gob.gt/sites/default/files/banguat/cuentasnac/PIB2013/resumidos/2.2_PIB_por_AE_corriente_AR2013.pdf</t>
  </si>
  <si>
    <t>Q 878,387.4 millones</t>
  </si>
  <si>
    <t>Agricultura, ganadería, silvicultura y pesca  7.76%</t>
  </si>
  <si>
    <t>Comercio y reparación de vehículos con el 21%</t>
  </si>
  <si>
    <t>La participación refleja el peso económico que una actividad tiene dentro del PIB total, mientras que la variación mide su dinamismo y capacidad de crecimiento en el tiempo. Por ello, un sector puede ser el más grande por su tamaño y  registrar un crecimiento menor al de actividades más pequeñas pero más dinámicas.</t>
  </si>
  <si>
    <t>Al comparar Comercio y reparación de vehículos con Agricultura, ganadería, silvicultura y pesca, se observa que el comercio posee una importancia relativa notablemente superior, representando alrededor del 21% del PIB frente a aproximadamente el 9.3% del sector agrícola. En cuanto a su comportamiento reciente, el sector agrícola muestra mayor dinamismo, con un crecimiento nominal de 7.76% entre 2023 y 2024, superando al 7.46% de variación del comercio y también al crecimiento promedio de la economía. Esto evidencia que, aunque el comercio es la actividad de mayor peso económico, la agricultura ha registrado un ritmo de expansión más acelerado en el periodo analizado.</t>
  </si>
  <si>
    <t>El PIB total crece porque el aumento de otras actividades más que compensa la disminución de ese sector en particular; el conjunto de la economía puede expandirse aunque alguna rama productiva se contraiga. Al usar valores corrientes, hay que tener precaución porque la variación calculada refleja tanto el crecimiento real de la producción como el cambio de precios, por lo que no se puede atribuir enteramente a un aumento en la cantidad de bienes y servicios producidos. Por lo tanto, no hay contradiccion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</si>
</sst>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25">
    <font>
      <sz val="11"/>
      <name val="Carlito"/>
    </font>
    <font>
      <b/>
      <sz val="23"/>
      <color rgb="FFFFFFFF"/>
      <name val="Carlito"/>
    </font>
    <font>
      <b/>
      <sz val="14"/>
      <color rgb="FFDCE7F0"/>
      <name val="Carlito"/>
    </font>
    <font>
      <b/>
      <sz val="14"/>
      <color rgb="FF164873"/>
      <name val="Carlito"/>
    </font>
    <font>
      <b/>
      <sz val="11"/>
      <color rgb="FFFFFFFF"/>
      <name val="Carlito"/>
    </font>
    <font>
      <b/>
      <sz val="10"/>
      <color rgb="FF0B2E4F"/>
      <name val="Carlito"/>
    </font>
    <font>
      <sz val="10"/>
      <color rgb="FF0B2E4F"/>
      <name val="Carlito"/>
    </font>
    <font>
      <sz val="10"/>
      <color rgb="FF4B5563"/>
      <name val="Carlito"/>
    </font>
    <font>
      <b/>
      <sz val="11"/>
      <color rgb="FF0B2E4F"/>
      <name val="Carlito"/>
    </font>
    <font>
      <b/>
      <sz val="10"/>
      <color rgb="FF164873"/>
      <name val="Carlito"/>
    </font>
    <font>
      <b/>
      <sz val="10"/>
      <color rgb="FF2F6B57"/>
      <name val="Carlito"/>
    </font>
    <font>
      <b/>
      <sz val="19"/>
      <color rgb="FFFFFFFF"/>
      <name val="Carlito"/>
    </font>
    <font>
      <sz val="10"/>
      <color rgb="FFDCE7F0"/>
      <name val="Carlito"/>
    </font>
    <font>
      <b/>
      <sz val="10"/>
      <color rgb="FFFFFFFF"/>
      <name val="Carlito"/>
    </font>
    <font>
      <b/>
      <sz val="12"/>
      <color rgb="FFF97316"/>
      <name val="Carlito"/>
    </font>
    <font>
      <b/>
      <sz val="11"/>
      <color rgb="FF2F6B57"/>
      <name val="Carlito"/>
    </font>
    <font>
      <b/>
      <sz val="13"/>
      <color rgb="FF2F6B57"/>
      <name val="Carlito"/>
    </font>
    <font>
      <b/>
      <sz val="18"/>
      <color rgb="FFF97316"/>
      <name val="Carlito"/>
    </font>
    <font>
      <b/>
      <sz val="11"/>
      <color rgb="FFF97316"/>
      <name val="Carlito"/>
    </font>
    <font>
      <sz val="11"/>
      <name val="Carlito"/>
    </font>
    <font>
      <b/>
      <sz val="11"/>
      <name val="Carlito"/>
    </font>
    <font>
      <sz val="10"/>
      <color rgb="FF164873"/>
      <name val="Carlito"/>
    </font>
    <font>
      <sz val="10"/>
      <name val="Arial"/>
      <family val="2"/>
    </font>
    <font>
      <u/>
      <sz val="11"/>
      <color theme="10"/>
      <name val="Carlito"/>
    </font>
    <font>
      <sz val="12"/>
      <color rgb="FF4B5563"/>
      <name val="Calibri"/>
      <family val="2"/>
      <scheme val="minor"/>
    </font>
  </fonts>
  <fills count="13">
    <fill>
      <patternFill patternType="none"/>
    </fill>
    <fill>
      <patternFill patternType="gray125"/>
    </fill>
    <fill>
      <patternFill patternType="solid">
        <fgColor rgb="FFFFFFFF"/>
      </patternFill>
    </fill>
    <fill>
      <patternFill patternType="solid">
        <fgColor rgb="FF0B2E4F"/>
      </patternFill>
    </fill>
    <fill>
      <patternFill patternType="solid">
        <fgColor rgb="FFF97316"/>
      </patternFill>
    </fill>
    <fill>
      <patternFill patternType="solid">
        <fgColor rgb="FFEEF4F8"/>
      </patternFill>
    </fill>
    <fill>
      <patternFill patternType="solid">
        <fgColor rgb="FF164873"/>
      </patternFill>
    </fill>
    <fill>
      <patternFill patternType="solid">
        <fgColor rgb="FFF7F8FA"/>
      </patternFill>
    </fill>
    <fill>
      <patternFill patternType="solid">
        <fgColor rgb="FFFFF2E8"/>
      </patternFill>
    </fill>
    <fill>
      <patternFill patternType="solid">
        <fgColor rgb="FFEAF4EF"/>
      </patternFill>
    </fill>
    <fill>
      <patternFill patternType="solid">
        <fgColor rgb="FF2F6B57"/>
      </patternFill>
    </fill>
    <fill>
      <patternFill patternType="solid">
        <fgColor theme="6" tint="0.79998168889431442"/>
        <bgColor indexed="64"/>
      </patternFill>
    </fill>
    <fill>
      <patternFill patternType="solid">
        <fgColor rgb="FFFFFF00"/>
        <bgColor indexed="64"/>
      </patternFill>
    </fill>
  </fills>
  <borders count="2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
    <xf numFmtId="0" fontId="0" fillId="0" borderId="0"/>
    <xf numFmtId="43" fontId="19" fillId="0" borderId="0" applyFont="0" applyFill="0" applyBorder="0" applyAlignment="0" applyProtection="0"/>
    <xf numFmtId="9" fontId="19" fillId="0" borderId="0" applyFont="0" applyFill="0" applyBorder="0" applyAlignment="0" applyProtection="0"/>
    <xf numFmtId="0" fontId="23" fillId="0" borderId="0" applyNumberFormat="0" applyFill="0" applyBorder="0" applyAlignment="0" applyProtection="0"/>
  </cellStyleXfs>
  <cellXfs count="89">
    <xf numFmtId="0" fontId="0" fillId="0" borderId="0" xfId="0"/>
    <xf numFmtId="0" fontId="0" fillId="2" borderId="0" xfId="0" applyFill="1"/>
    <xf numFmtId="0" fontId="5" fillId="7" borderId="0" xfId="0" applyFont="1" applyFill="1" applyAlignment="1">
      <alignment vertical="center"/>
    </xf>
    <xf numFmtId="0" fontId="13" fillId="6" borderId="0" xfId="0" applyFont="1" applyFill="1" applyAlignment="1">
      <alignment horizontal="center" vertical="center" wrapText="1"/>
    </xf>
    <xf numFmtId="0" fontId="7" fillId="7" borderId="0" xfId="0" applyFont="1" applyFill="1" applyAlignment="1">
      <alignment vertical="center" wrapText="1"/>
    </xf>
    <xf numFmtId="3" fontId="7" fillId="7" borderId="0" xfId="0" applyNumberFormat="1" applyFont="1" applyFill="1" applyAlignment="1">
      <alignment vertical="center" wrapText="1"/>
    </xf>
    <xf numFmtId="3" fontId="6" fillId="8" borderId="0" xfId="0" applyNumberFormat="1" applyFont="1" applyFill="1" applyAlignment="1">
      <alignment horizontal="left" vertical="center" wrapText="1"/>
    </xf>
    <xf numFmtId="10" fontId="6" fillId="8" borderId="0" xfId="0" applyNumberFormat="1" applyFont="1" applyFill="1" applyAlignment="1">
      <alignment horizontal="left" vertical="center" wrapText="1"/>
    </xf>
    <xf numFmtId="38" fontId="7" fillId="7" borderId="0" xfId="0" applyNumberFormat="1" applyFont="1" applyFill="1" applyAlignment="1">
      <alignment vertical="center" wrapText="1"/>
    </xf>
    <xf numFmtId="0" fontId="5" fillId="7" borderId="0" xfId="0" applyFont="1" applyFill="1" applyAlignment="1">
      <alignment vertical="center" wrapText="1"/>
    </xf>
    <xf numFmtId="4" fontId="6" fillId="8" borderId="0" xfId="0" applyNumberFormat="1" applyFont="1" applyFill="1" applyAlignment="1">
      <alignment horizontal="left" vertical="center" wrapText="1"/>
    </xf>
    <xf numFmtId="0" fontId="6" fillId="8" borderId="0" xfId="0" applyFont="1" applyFill="1" applyAlignment="1">
      <alignment horizontal="left" vertical="center" wrapText="1"/>
    </xf>
    <xf numFmtId="0" fontId="6" fillId="8" borderId="0" xfId="0" applyFont="1" applyFill="1" applyAlignment="1">
      <alignment vertical="top" wrapText="1"/>
    </xf>
    <xf numFmtId="3" fontId="0" fillId="2" borderId="0" xfId="0" applyNumberFormat="1" applyFill="1"/>
    <xf numFmtId="43" fontId="6" fillId="8" borderId="0" xfId="1" applyFont="1" applyFill="1" applyAlignment="1">
      <alignment horizontal="center" vertical="center" wrapText="1"/>
    </xf>
    <xf numFmtId="43" fontId="0" fillId="2" borderId="0" xfId="1" applyFont="1" applyFill="1" applyAlignment="1">
      <alignment horizontal="center"/>
    </xf>
    <xf numFmtId="10" fontId="6" fillId="8" borderId="0" xfId="0" applyNumberFormat="1" applyFont="1" applyFill="1" applyAlignment="1">
      <alignment horizontal="center" vertical="center" wrapText="1"/>
    </xf>
    <xf numFmtId="10" fontId="0" fillId="2" borderId="0" xfId="2" applyNumberFormat="1" applyFont="1" applyFill="1" applyAlignment="1">
      <alignment horizontal="center"/>
    </xf>
    <xf numFmtId="164" fontId="0" fillId="2" borderId="0" xfId="2" applyNumberFormat="1" applyFont="1" applyFill="1"/>
    <xf numFmtId="10" fontId="0" fillId="2" borderId="0" xfId="2" applyNumberFormat="1" applyFont="1" applyFill="1"/>
    <xf numFmtId="10" fontId="20" fillId="2" borderId="0" xfId="2" applyNumberFormat="1" applyFont="1" applyFill="1"/>
    <xf numFmtId="0" fontId="7" fillId="11" borderId="0" xfId="0" applyFont="1" applyFill="1" applyAlignment="1">
      <alignment vertical="center" wrapText="1"/>
    </xf>
    <xf numFmtId="3" fontId="7" fillId="11" borderId="0" xfId="0" applyNumberFormat="1" applyFont="1" applyFill="1" applyAlignment="1">
      <alignment vertical="center" wrapText="1"/>
    </xf>
    <xf numFmtId="43" fontId="6" fillId="11" borderId="0" xfId="1" applyFont="1" applyFill="1" applyAlignment="1">
      <alignment horizontal="center" vertical="center" wrapText="1"/>
    </xf>
    <xf numFmtId="10" fontId="6" fillId="11" borderId="0" xfId="0" applyNumberFormat="1" applyFont="1" applyFill="1" applyAlignment="1">
      <alignment horizontal="center" vertical="center" wrapText="1"/>
    </xf>
    <xf numFmtId="10" fontId="0" fillId="11" borderId="0" xfId="2" applyNumberFormat="1" applyFont="1" applyFill="1"/>
    <xf numFmtId="38" fontId="0" fillId="2" borderId="0" xfId="0" applyNumberFormat="1" applyFill="1"/>
    <xf numFmtId="0" fontId="20" fillId="2" borderId="0" xfId="0" applyFont="1" applyFill="1"/>
    <xf numFmtId="0" fontId="7" fillId="2" borderId="0" xfId="0" applyFont="1" applyFill="1" applyAlignment="1">
      <alignment vertical="top" wrapText="1"/>
    </xf>
    <xf numFmtId="0" fontId="4" fillId="10" borderId="0" xfId="0" applyFont="1" applyFill="1" applyAlignment="1">
      <alignment vertical="center"/>
    </xf>
    <xf numFmtId="0" fontId="15" fillId="9" borderId="0" xfId="0" applyFont="1" applyFill="1" applyAlignment="1">
      <alignment horizontal="center" vertical="center" wrapText="1"/>
    </xf>
    <xf numFmtId="0" fontId="9" fillId="5" borderId="0" xfId="0" applyFont="1" applyFill="1" applyAlignment="1">
      <alignment vertical="center" wrapText="1"/>
    </xf>
    <xf numFmtId="0" fontId="14" fillId="8" borderId="0" xfId="0" applyFont="1" applyFill="1" applyAlignment="1">
      <alignment horizontal="center" vertical="center"/>
    </xf>
    <xf numFmtId="0" fontId="9" fillId="5" borderId="0" xfId="0" applyFont="1" applyFill="1" applyAlignment="1">
      <alignment horizontal="center" vertical="center" wrapText="1"/>
    </xf>
    <xf numFmtId="0" fontId="4" fillId="6" borderId="0" xfId="0" applyFont="1" applyFill="1" applyAlignment="1">
      <alignment vertical="center"/>
    </xf>
    <xf numFmtId="0" fontId="6" fillId="8" borderId="0" xfId="0" applyFont="1" applyFill="1" applyAlignment="1">
      <alignment vertical="top" wrapText="1"/>
    </xf>
    <xf numFmtId="0" fontId="10" fillId="9" borderId="0" xfId="0" applyFont="1" applyFill="1" applyAlignment="1">
      <alignment vertical="center"/>
    </xf>
    <xf numFmtId="0" fontId="11" fillId="3" borderId="0" xfId="0" applyFont="1" applyFill="1" applyAlignment="1">
      <alignment vertical="center"/>
    </xf>
    <xf numFmtId="0" fontId="12" fillId="3" borderId="0" xfId="0" applyFont="1" applyFill="1" applyAlignment="1">
      <alignment vertical="center" wrapText="1"/>
    </xf>
    <xf numFmtId="0" fontId="0" fillId="4" borderId="0" xfId="0" applyFill="1"/>
    <xf numFmtId="0" fontId="16" fillId="9" borderId="0" xfId="0" applyFont="1" applyFill="1" applyAlignment="1">
      <alignment horizontal="center" vertical="center"/>
    </xf>
    <xf numFmtId="0" fontId="17" fillId="8" borderId="0" xfId="0" applyFont="1" applyFill="1" applyAlignment="1">
      <alignment horizontal="center" vertical="center"/>
    </xf>
    <xf numFmtId="0" fontId="8" fillId="7" borderId="0" xfId="0" applyFont="1" applyFill="1" applyAlignment="1">
      <alignment horizontal="center" vertical="center" wrapText="1"/>
    </xf>
    <xf numFmtId="0" fontId="8" fillId="8" borderId="0" xfId="0" applyFont="1" applyFill="1" applyAlignment="1">
      <alignment horizontal="center" vertical="center" wrapText="1"/>
    </xf>
    <xf numFmtId="0" fontId="5" fillId="8" borderId="0" xfId="0" applyFont="1" applyFill="1" applyAlignment="1">
      <alignment horizontal="center" vertical="center" wrapText="1"/>
    </xf>
    <xf numFmtId="0" fontId="10" fillId="9" borderId="0" xfId="0" applyFont="1" applyFill="1" applyAlignment="1">
      <alignment horizontal="center" vertical="center" wrapText="1"/>
    </xf>
    <xf numFmtId="0" fontId="7" fillId="2" borderId="0" xfId="0" applyFont="1" applyFill="1" applyAlignment="1">
      <alignment vertical="center" wrapText="1"/>
    </xf>
    <xf numFmtId="0" fontId="1" fillId="3" borderId="0" xfId="0" applyFont="1" applyFill="1" applyAlignment="1">
      <alignment vertical="center"/>
    </xf>
    <xf numFmtId="0" fontId="2" fillId="3" borderId="0" xfId="0" applyFont="1" applyFill="1" applyAlignment="1">
      <alignment vertical="center"/>
    </xf>
    <xf numFmtId="0" fontId="3" fillId="5" borderId="0" xfId="0" applyFont="1" applyFill="1" applyAlignment="1">
      <alignment horizontal="center" vertical="center" wrapText="1"/>
    </xf>
    <xf numFmtId="0" fontId="21" fillId="5" borderId="0" xfId="0" applyFont="1" applyFill="1" applyAlignment="1">
      <alignment vertical="center" wrapText="1"/>
    </xf>
    <xf numFmtId="0" fontId="7" fillId="2" borderId="1" xfId="0" applyFont="1" applyFill="1" applyBorder="1" applyAlignment="1">
      <alignment vertical="top" wrapText="1"/>
    </xf>
    <xf numFmtId="0" fontId="7" fillId="2" borderId="2" xfId="0" applyFont="1" applyFill="1" applyBorder="1" applyAlignment="1">
      <alignment vertical="top" wrapText="1"/>
    </xf>
    <xf numFmtId="0" fontId="7" fillId="2" borderId="3" xfId="0" applyFont="1" applyFill="1" applyBorder="1" applyAlignment="1">
      <alignment vertical="top" wrapText="1"/>
    </xf>
    <xf numFmtId="0" fontId="7" fillId="2" borderId="4" xfId="0" applyFont="1" applyFill="1" applyBorder="1" applyAlignment="1">
      <alignment vertical="top" wrapText="1"/>
    </xf>
    <xf numFmtId="0" fontId="7" fillId="2" borderId="5" xfId="0" applyFont="1" applyFill="1" applyBorder="1" applyAlignment="1">
      <alignment vertical="top" wrapText="1"/>
    </xf>
    <xf numFmtId="0" fontId="7" fillId="2" borderId="6" xfId="0" applyFont="1" applyFill="1" applyBorder="1" applyAlignment="1">
      <alignment vertical="top" wrapText="1"/>
    </xf>
    <xf numFmtId="0" fontId="7" fillId="2" borderId="7" xfId="0" applyFont="1" applyFill="1" applyBorder="1" applyAlignment="1">
      <alignment vertical="top" wrapText="1"/>
    </xf>
    <xf numFmtId="0" fontId="7" fillId="2" borderId="8" xfId="0" applyFont="1" applyFill="1" applyBorder="1" applyAlignment="1">
      <alignment vertical="top" wrapText="1"/>
    </xf>
    <xf numFmtId="0" fontId="18" fillId="8" borderId="0" xfId="0" applyFont="1" applyFill="1" applyAlignment="1">
      <alignment horizontal="center" vertical="center"/>
    </xf>
    <xf numFmtId="0" fontId="6" fillId="8" borderId="0" xfId="0" applyFont="1" applyFill="1" applyAlignment="1">
      <alignment horizontal="left" vertical="center" wrapText="1"/>
    </xf>
    <xf numFmtId="0" fontId="6" fillId="8" borderId="0" xfId="0" applyFont="1" applyFill="1" applyAlignment="1">
      <alignment horizontal="center" vertical="top" wrapText="1"/>
    </xf>
    <xf numFmtId="0" fontId="5" fillId="8" borderId="0" xfId="0" applyFont="1" applyFill="1" applyAlignment="1">
      <alignment vertical="top" wrapText="1"/>
    </xf>
    <xf numFmtId="3" fontId="6" fillId="8" borderId="0" xfId="0" applyNumberFormat="1" applyFont="1" applyFill="1" applyAlignment="1">
      <alignment vertical="top" wrapText="1"/>
    </xf>
    <xf numFmtId="3" fontId="5" fillId="8" borderId="0" xfId="0" applyNumberFormat="1" applyFont="1" applyFill="1" applyAlignment="1">
      <alignment vertical="top" wrapText="1"/>
    </xf>
    <xf numFmtId="0" fontId="6" fillId="8" borderId="0" xfId="0" applyFont="1" applyFill="1" applyAlignment="1">
      <alignment horizontal="left" vertical="top" wrapText="1"/>
    </xf>
    <xf numFmtId="0" fontId="5" fillId="8" borderId="0" xfId="0" applyFont="1" applyFill="1" applyAlignment="1">
      <alignment horizontal="left" vertical="top" wrapText="1"/>
    </xf>
    <xf numFmtId="0" fontId="6" fillId="8" borderId="9" xfId="0" quotePrefix="1" applyFont="1" applyFill="1" applyBorder="1" applyAlignment="1">
      <alignment vertical="top" wrapText="1"/>
    </xf>
    <xf numFmtId="0" fontId="6" fillId="8" borderId="10" xfId="0" applyFont="1" applyFill="1" applyBorder="1" applyAlignment="1">
      <alignment vertical="top" wrapText="1"/>
    </xf>
    <xf numFmtId="3" fontId="6" fillId="8" borderId="11" xfId="0" applyNumberFormat="1" applyFont="1" applyFill="1" applyBorder="1" applyAlignment="1">
      <alignment vertical="top" wrapText="1"/>
    </xf>
    <xf numFmtId="0" fontId="6" fillId="8" borderId="12" xfId="0" applyFont="1" applyFill="1" applyBorder="1" applyAlignment="1">
      <alignment vertical="top" wrapText="1"/>
    </xf>
    <xf numFmtId="0" fontId="6" fillId="8" borderId="13" xfId="0" quotePrefix="1" applyFont="1" applyFill="1" applyBorder="1" applyAlignment="1">
      <alignment vertical="top" wrapText="1"/>
    </xf>
    <xf numFmtId="3" fontId="6" fillId="8" borderId="14" xfId="0" applyNumberFormat="1" applyFont="1" applyFill="1" applyBorder="1" applyAlignment="1">
      <alignment vertical="top" wrapText="1"/>
    </xf>
    <xf numFmtId="0" fontId="6" fillId="8" borderId="15" xfId="0" applyFont="1" applyFill="1" applyBorder="1" applyAlignment="1">
      <alignment vertical="top" wrapText="1"/>
    </xf>
    <xf numFmtId="0" fontId="6" fillId="8" borderId="16" xfId="0" applyFont="1" applyFill="1" applyBorder="1" applyAlignment="1">
      <alignment vertical="top" wrapText="1"/>
    </xf>
    <xf numFmtId="3" fontId="6" fillId="8" borderId="17" xfId="0" applyNumberFormat="1" applyFont="1" applyFill="1" applyBorder="1" applyAlignment="1">
      <alignment vertical="top" wrapText="1"/>
    </xf>
    <xf numFmtId="0" fontId="5" fillId="8" borderId="18" xfId="0" applyFont="1" applyFill="1" applyBorder="1" applyAlignment="1">
      <alignment horizontal="center" vertical="top" wrapText="1"/>
    </xf>
    <xf numFmtId="0" fontId="5" fillId="8" borderId="19" xfId="0" applyFont="1" applyFill="1" applyBorder="1" applyAlignment="1">
      <alignment horizontal="center" vertical="top" wrapText="1"/>
    </xf>
    <xf numFmtId="3" fontId="5" fillId="8" borderId="20" xfId="0" applyNumberFormat="1" applyFont="1" applyFill="1" applyBorder="1" applyAlignment="1">
      <alignment horizontal="center" vertical="top" wrapText="1"/>
    </xf>
    <xf numFmtId="0" fontId="24" fillId="2" borderId="0" xfId="0" applyFont="1" applyFill="1" applyAlignment="1">
      <alignment vertical="top" wrapText="1"/>
    </xf>
    <xf numFmtId="4" fontId="0" fillId="2" borderId="0" xfId="0" applyNumberFormat="1" applyFill="1" applyAlignment="1">
      <alignment horizontal="center"/>
    </xf>
    <xf numFmtId="9" fontId="0" fillId="2" borderId="0" xfId="2" applyFont="1" applyFill="1" applyAlignment="1">
      <alignment horizontal="center"/>
    </xf>
    <xf numFmtId="0" fontId="23" fillId="8" borderId="0" xfId="3" applyFill="1" applyAlignment="1">
      <alignment horizontal="left" vertical="center" wrapText="1"/>
    </xf>
    <xf numFmtId="0" fontId="7" fillId="12" borderId="0" xfId="0" applyFont="1" applyFill="1" applyAlignment="1">
      <alignment vertical="center" wrapText="1"/>
    </xf>
    <xf numFmtId="4" fontId="6" fillId="12" borderId="0" xfId="0" applyNumberFormat="1" applyFont="1" applyFill="1" applyAlignment="1">
      <alignment horizontal="left" vertical="center" wrapText="1"/>
    </xf>
    <xf numFmtId="10" fontId="6" fillId="12" borderId="0" xfId="0" applyNumberFormat="1" applyFont="1" applyFill="1" applyAlignment="1">
      <alignment horizontal="left" vertical="center" wrapText="1"/>
    </xf>
    <xf numFmtId="38" fontId="14" fillId="8" borderId="0" xfId="0" applyNumberFormat="1" applyFont="1" applyFill="1" applyAlignment="1">
      <alignment horizontal="center" vertical="center"/>
    </xf>
    <xf numFmtId="43" fontId="14" fillId="8" borderId="0" xfId="0" applyNumberFormat="1" applyFont="1" applyFill="1" applyAlignment="1">
      <alignment horizontal="center" vertical="center"/>
    </xf>
    <xf numFmtId="3" fontId="14" fillId="8" borderId="0" xfId="0" applyNumberFormat="1" applyFont="1" applyFill="1" applyAlignment="1">
      <alignment horizontal="center" vertical="center"/>
    </xf>
  </cellXfs>
  <cellStyles count="4">
    <cellStyle name="Hipervínculo" xfId="3" builtinId="8"/>
    <cellStyle name="Millares" xfId="1" builtinId="3"/>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autoTitleDeleted val="1"/>
    <c:plotArea>
      <c:layout/>
      <c:barChart>
        <c:barDir val="col"/>
        <c:grouping val="clustered"/>
        <c:varyColors val="0"/>
        <c:ser>
          <c:idx val="0"/>
          <c:order val="0"/>
          <c:tx>
            <c:v>Participación 2024</c:v>
          </c:tx>
          <c:invertIfNegative val="1"/>
          <c:cat>
            <c:strRef>
              <c:f>'E5 Guatemala'!$B$15:$B$19</c:f>
              <c:strCache>
                <c:ptCount val="5"/>
                <c:pt idx="0">
                  <c:v>Agricultura, ganadería, silvicultura y pesca</c:v>
                </c:pt>
                <c:pt idx="1">
                  <c:v>Industrias manufactureras</c:v>
                </c:pt>
                <c:pt idx="2">
                  <c:v>Construcción</c:v>
                </c:pt>
                <c:pt idx="3">
                  <c:v>Comercio y reparación de vehículos</c:v>
                </c:pt>
                <c:pt idx="4">
                  <c:v>Actividad seleccionada por el estudiante</c:v>
                </c:pt>
              </c:strCache>
            </c:strRef>
          </c:cat>
          <c:val>
            <c:numRef>
              <c:f>'E5 Guatemala'!$F$15:$F$19</c:f>
              <c:numCache>
                <c:formatCode>0.00%</c:formatCode>
                <c:ptCount val="5"/>
                <c:pt idx="0">
                  <c:v>9.2887893489763312E-2</c:v>
                </c:pt>
                <c:pt idx="1">
                  <c:v>0.13599912554667565</c:v>
                </c:pt>
                <c:pt idx="2">
                  <c:v>5.5000609156938184E-2</c:v>
                </c:pt>
                <c:pt idx="3">
                  <c:v>0.21002364895253472</c:v>
                </c:pt>
                <c:pt idx="4">
                  <c:v>4.9001267274153645E-2</c:v>
                </c:pt>
              </c:numCache>
            </c:numRef>
          </c:val>
          <c:extLst>
            <c:ext xmlns:c16="http://schemas.microsoft.com/office/drawing/2014/chart" uri="{C3380CC4-5D6E-409C-BE32-E72D297353CC}">
              <c16:uniqueId val="{00000000-8940-2748-A4BA-98395B61293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34</xdr:row>
      <xdr:rowOff>0</xdr:rowOff>
    </xdr:from>
    <xdr:to>
      <xdr:col>10</xdr:col>
      <xdr:colOff>0</xdr:colOff>
      <xdr:row>50</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banguat.gob.gt/sites/default/files/banguat/cuentasnac/PIB2013/resumidos/2.2_PIB_por_AE_corriente_AR201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
  <sheetViews>
    <sheetView showGridLines="0" topLeftCell="A13" zoomScale="125" workbookViewId="0">
      <selection activeCell="F34" sqref="F34:J37"/>
    </sheetView>
  </sheetViews>
  <sheetFormatPr baseColWidth="10" defaultColWidth="8.8984375" defaultRowHeight="13.8"/>
  <cols>
    <col min="1" max="1" width="3" customWidth="1"/>
    <col min="2" max="10" width="17" customWidth="1"/>
    <col min="11" max="11" width="3" customWidth="1"/>
  </cols>
  <sheetData>
    <row r="1" spans="1:11">
      <c r="A1" s="1"/>
      <c r="B1" s="1"/>
      <c r="C1" s="1"/>
      <c r="D1" s="1"/>
      <c r="E1" s="1"/>
      <c r="F1" s="1"/>
      <c r="G1" s="1"/>
      <c r="H1" s="1"/>
      <c r="I1" s="1"/>
      <c r="J1" s="1"/>
      <c r="K1" s="1"/>
    </row>
    <row r="2" spans="1:11">
      <c r="A2" s="1"/>
      <c r="B2" s="47" t="s">
        <v>0</v>
      </c>
      <c r="C2" s="47"/>
      <c r="D2" s="47"/>
      <c r="E2" s="47"/>
      <c r="F2" s="47"/>
      <c r="G2" s="47"/>
      <c r="H2" s="47"/>
      <c r="I2" s="47"/>
      <c r="J2" s="47"/>
      <c r="K2" s="1"/>
    </row>
    <row r="3" spans="1:11">
      <c r="A3" s="1"/>
      <c r="B3" s="47"/>
      <c r="C3" s="47"/>
      <c r="D3" s="47"/>
      <c r="E3" s="47"/>
      <c r="F3" s="47"/>
      <c r="G3" s="47"/>
      <c r="H3" s="47"/>
      <c r="I3" s="47"/>
      <c r="J3" s="47"/>
      <c r="K3" s="1"/>
    </row>
    <row r="4" spans="1:11" ht="17.399999999999999">
      <c r="A4" s="1"/>
      <c r="B4" s="48" t="s">
        <v>1</v>
      </c>
      <c r="C4" s="48"/>
      <c r="D4" s="48"/>
      <c r="E4" s="48"/>
      <c r="F4" s="48"/>
      <c r="G4" s="48"/>
      <c r="H4" s="48"/>
      <c r="I4" s="48"/>
      <c r="J4" s="48"/>
      <c r="K4" s="1"/>
    </row>
    <row r="5" spans="1:11" ht="6.75" customHeight="1">
      <c r="A5" s="1"/>
      <c r="B5" s="39"/>
      <c r="C5" s="39"/>
      <c r="D5" s="39"/>
      <c r="E5" s="39"/>
      <c r="F5" s="39"/>
      <c r="G5" s="39"/>
      <c r="H5" s="39"/>
      <c r="I5" s="39"/>
      <c r="J5" s="39"/>
      <c r="K5" s="1"/>
    </row>
    <row r="6" spans="1:11">
      <c r="A6" s="1"/>
      <c r="B6" s="1"/>
      <c r="C6" s="1"/>
      <c r="D6" s="1"/>
      <c r="E6" s="1"/>
      <c r="F6" s="1"/>
      <c r="G6" s="1"/>
      <c r="H6" s="1"/>
      <c r="I6" s="1"/>
      <c r="J6" s="1"/>
      <c r="K6" s="1"/>
    </row>
    <row r="7" spans="1:11">
      <c r="A7" s="1"/>
      <c r="B7" s="1"/>
      <c r="C7" s="1"/>
      <c r="D7" s="1"/>
      <c r="E7" s="1"/>
      <c r="F7" s="1"/>
      <c r="G7" s="1"/>
      <c r="H7" s="1"/>
      <c r="I7" s="1"/>
      <c r="J7" s="1"/>
      <c r="K7" s="1"/>
    </row>
    <row r="8" spans="1:11">
      <c r="A8" s="1"/>
      <c r="B8" s="49" t="s">
        <v>2</v>
      </c>
      <c r="C8" s="49"/>
      <c r="D8" s="49"/>
      <c r="E8" s="49"/>
      <c r="F8" s="49"/>
      <c r="G8" s="49"/>
      <c r="H8" s="49"/>
      <c r="I8" s="49"/>
      <c r="J8" s="49"/>
      <c r="K8" s="1"/>
    </row>
    <row r="9" spans="1:11">
      <c r="A9" s="1"/>
      <c r="B9" s="49"/>
      <c r="C9" s="49"/>
      <c r="D9" s="49"/>
      <c r="E9" s="49"/>
      <c r="F9" s="49"/>
      <c r="G9" s="49"/>
      <c r="H9" s="49"/>
      <c r="I9" s="49"/>
      <c r="J9" s="49"/>
      <c r="K9" s="1"/>
    </row>
    <row r="10" spans="1:11">
      <c r="A10" s="1"/>
      <c r="B10" s="49"/>
      <c r="C10" s="49"/>
      <c r="D10" s="49"/>
      <c r="E10" s="49"/>
      <c r="F10" s="49"/>
      <c r="G10" s="49"/>
      <c r="H10" s="49"/>
      <c r="I10" s="49"/>
      <c r="J10" s="49"/>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34" t="s">
        <v>3</v>
      </c>
      <c r="C13" s="34"/>
      <c r="D13" s="34"/>
      <c r="E13" s="34"/>
      <c r="F13" s="34"/>
      <c r="G13" s="34"/>
      <c r="H13" s="34"/>
      <c r="I13" s="34"/>
      <c r="J13" s="34"/>
      <c r="K13" s="1"/>
    </row>
    <row r="14" spans="1:11">
      <c r="A14" s="1"/>
      <c r="B14" s="2" t="s">
        <v>4</v>
      </c>
      <c r="C14" s="11"/>
      <c r="D14" s="11"/>
      <c r="E14" s="11"/>
      <c r="F14" s="2" t="s">
        <v>5</v>
      </c>
      <c r="G14" s="11"/>
      <c r="H14" s="11"/>
      <c r="I14" s="11"/>
      <c r="J14" s="11"/>
      <c r="K14" s="1"/>
    </row>
    <row r="15" spans="1:11">
      <c r="A15" s="1"/>
      <c r="B15" s="1"/>
      <c r="C15" s="1"/>
      <c r="D15" s="1"/>
      <c r="E15" s="1"/>
      <c r="F15" s="1"/>
      <c r="G15" s="1"/>
      <c r="H15" s="1"/>
      <c r="I15" s="1"/>
      <c r="J15" s="1"/>
      <c r="K15" s="1"/>
    </row>
    <row r="16" spans="1:11">
      <c r="A16" s="1"/>
      <c r="B16" s="2" t="s">
        <v>6</v>
      </c>
      <c r="C16" s="11"/>
      <c r="D16" s="11"/>
      <c r="E16" s="11"/>
      <c r="F16" s="2" t="s">
        <v>7</v>
      </c>
      <c r="G16" s="11"/>
      <c r="H16" s="11"/>
      <c r="I16" s="11"/>
      <c r="J16" s="11"/>
      <c r="K16" s="1"/>
    </row>
    <row r="17" spans="1:11">
      <c r="A17" s="1"/>
      <c r="B17" s="1"/>
      <c r="C17" s="1"/>
      <c r="D17" s="1"/>
      <c r="E17" s="1"/>
      <c r="F17" s="1"/>
      <c r="G17" s="1"/>
      <c r="H17" s="1"/>
      <c r="I17" s="1"/>
      <c r="J17" s="1"/>
      <c r="K17" s="1"/>
    </row>
    <row r="18" spans="1:11">
      <c r="A18" s="1"/>
      <c r="B18" s="1"/>
      <c r="C18" s="1"/>
      <c r="D18" s="1"/>
      <c r="E18" s="1"/>
      <c r="F18" s="1"/>
      <c r="G18" s="1"/>
      <c r="H18" s="1"/>
      <c r="I18" s="1"/>
      <c r="J18" s="1"/>
      <c r="K18" s="1"/>
    </row>
    <row r="19" spans="1:11" ht="30.75" customHeight="1">
      <c r="A19" s="1"/>
      <c r="B19" s="34" t="s">
        <v>8</v>
      </c>
      <c r="C19" s="34"/>
      <c r="D19" s="34"/>
      <c r="E19" s="34"/>
      <c r="F19" s="34"/>
      <c r="G19" s="34"/>
      <c r="H19" s="34"/>
      <c r="I19" s="34"/>
      <c r="J19" s="34"/>
      <c r="K19" s="1"/>
    </row>
    <row r="20" spans="1:11" ht="32.1" customHeight="1">
      <c r="A20" s="1"/>
      <c r="B20" s="46" t="s">
        <v>9</v>
      </c>
      <c r="C20" s="46"/>
      <c r="D20" s="46"/>
      <c r="E20" s="46"/>
      <c r="F20" s="46"/>
      <c r="G20" s="46"/>
      <c r="H20" s="46"/>
      <c r="I20" s="46"/>
      <c r="J20" s="46"/>
      <c r="K20" s="1"/>
    </row>
    <row r="21" spans="1:11" ht="32.1" customHeight="1">
      <c r="A21" s="1"/>
      <c r="B21" s="46" t="s">
        <v>10</v>
      </c>
      <c r="C21" s="46"/>
      <c r="D21" s="46"/>
      <c r="E21" s="46"/>
      <c r="F21" s="46"/>
      <c r="G21" s="46"/>
      <c r="H21" s="46"/>
      <c r="I21" s="46"/>
      <c r="J21" s="46"/>
      <c r="K21" s="1"/>
    </row>
    <row r="22" spans="1:11" ht="32.1" customHeight="1">
      <c r="A22" s="1"/>
      <c r="B22" s="46" t="s">
        <v>11</v>
      </c>
      <c r="C22" s="46"/>
      <c r="D22" s="46"/>
      <c r="E22" s="46"/>
      <c r="F22" s="46"/>
      <c r="G22" s="46"/>
      <c r="H22" s="46"/>
      <c r="I22" s="46"/>
      <c r="J22" s="46"/>
      <c r="K22" s="1"/>
    </row>
    <row r="23" spans="1:11" ht="32.1" customHeight="1">
      <c r="A23" s="1"/>
      <c r="B23" s="46" t="s">
        <v>12</v>
      </c>
      <c r="C23" s="46"/>
      <c r="D23" s="46"/>
      <c r="E23" s="46"/>
      <c r="F23" s="46"/>
      <c r="G23" s="46"/>
      <c r="H23" s="46"/>
      <c r="I23" s="46"/>
      <c r="J23" s="46"/>
      <c r="K23" s="1"/>
    </row>
    <row r="24" spans="1:11" ht="32.1" customHeight="1">
      <c r="A24" s="1"/>
      <c r="B24" s="46" t="s">
        <v>13</v>
      </c>
      <c r="C24" s="46"/>
      <c r="D24" s="46"/>
      <c r="E24" s="46"/>
      <c r="F24" s="46"/>
      <c r="G24" s="46"/>
      <c r="H24" s="46"/>
      <c r="I24" s="46"/>
      <c r="J24" s="46"/>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ht="30.75" customHeight="1">
      <c r="A27" s="1"/>
      <c r="B27" s="34" t="s">
        <v>14</v>
      </c>
      <c r="C27" s="34"/>
      <c r="D27" s="34"/>
      <c r="E27" s="34"/>
      <c r="F27" s="34"/>
      <c r="G27" s="34"/>
      <c r="H27" s="34"/>
      <c r="I27" s="34"/>
      <c r="J27" s="34"/>
      <c r="K27" s="1"/>
    </row>
    <row r="28" spans="1:11">
      <c r="A28" s="1"/>
      <c r="B28" s="1"/>
      <c r="C28" s="1"/>
      <c r="D28" s="1"/>
      <c r="E28" s="1"/>
      <c r="F28" s="1"/>
      <c r="G28" s="1"/>
      <c r="H28" s="1"/>
      <c r="I28" s="1"/>
      <c r="J28" s="1"/>
      <c r="K28" s="1"/>
    </row>
    <row r="29" spans="1:11">
      <c r="A29" s="1"/>
      <c r="B29" s="42" t="s">
        <v>15</v>
      </c>
      <c r="C29" s="42"/>
      <c r="D29" s="42"/>
      <c r="E29" s="42" t="s">
        <v>16</v>
      </c>
      <c r="F29" s="42"/>
      <c r="G29" s="42"/>
      <c r="H29" s="42" t="s">
        <v>17</v>
      </c>
      <c r="I29" s="42"/>
      <c r="J29" s="42"/>
      <c r="K29" s="1"/>
    </row>
    <row r="30" spans="1:11">
      <c r="A30" s="1"/>
      <c r="B30" s="42"/>
      <c r="C30" s="42"/>
      <c r="D30" s="42"/>
      <c r="E30" s="42"/>
      <c r="F30" s="42"/>
      <c r="G30" s="42"/>
      <c r="H30" s="42"/>
      <c r="I30" s="42"/>
      <c r="J30" s="42"/>
      <c r="K30" s="1"/>
    </row>
    <row r="31" spans="1:11">
      <c r="A31" s="1"/>
      <c r="B31" s="42"/>
      <c r="C31" s="42"/>
      <c r="D31" s="42"/>
      <c r="E31" s="42"/>
      <c r="F31" s="42"/>
      <c r="G31" s="42"/>
      <c r="H31" s="42"/>
      <c r="I31" s="42"/>
      <c r="J31" s="42"/>
      <c r="K31" s="1"/>
    </row>
    <row r="32" spans="1:11">
      <c r="A32" s="1"/>
      <c r="B32" s="42"/>
      <c r="C32" s="42"/>
      <c r="D32" s="42"/>
      <c r="E32" s="42"/>
      <c r="F32" s="42"/>
      <c r="G32" s="42"/>
      <c r="H32" s="42"/>
      <c r="I32" s="42"/>
      <c r="J32" s="42"/>
      <c r="K32" s="1"/>
    </row>
    <row r="33" spans="1:11">
      <c r="A33" s="1"/>
      <c r="B33" s="1"/>
      <c r="C33" s="1"/>
      <c r="D33" s="1"/>
      <c r="E33" s="1"/>
      <c r="F33" s="1"/>
      <c r="G33" s="1"/>
      <c r="H33" s="1"/>
      <c r="I33" s="1"/>
      <c r="J33" s="1"/>
      <c r="K33" s="1"/>
    </row>
    <row r="34" spans="1:11">
      <c r="A34" s="1"/>
      <c r="B34" s="42" t="s">
        <v>18</v>
      </c>
      <c r="C34" s="42"/>
      <c r="D34" s="42"/>
      <c r="E34" s="42"/>
      <c r="F34" s="43" t="s">
        <v>19</v>
      </c>
      <c r="G34" s="43"/>
      <c r="H34" s="43"/>
      <c r="I34" s="43"/>
      <c r="J34" s="43"/>
      <c r="K34" s="1"/>
    </row>
    <row r="35" spans="1:11">
      <c r="A35" s="1"/>
      <c r="B35" s="42"/>
      <c r="C35" s="42"/>
      <c r="D35" s="42"/>
      <c r="E35" s="42"/>
      <c r="F35" s="43"/>
      <c r="G35" s="43"/>
      <c r="H35" s="43"/>
      <c r="I35" s="43"/>
      <c r="J35" s="43"/>
      <c r="K35" s="1"/>
    </row>
    <row r="36" spans="1:11">
      <c r="A36" s="1"/>
      <c r="B36" s="42"/>
      <c r="C36" s="42"/>
      <c r="D36" s="42"/>
      <c r="E36" s="42"/>
      <c r="F36" s="43"/>
      <c r="G36" s="43"/>
      <c r="H36" s="43"/>
      <c r="I36" s="43"/>
      <c r="J36" s="43"/>
      <c r="K36" s="1"/>
    </row>
    <row r="37" spans="1:11">
      <c r="A37" s="1"/>
      <c r="B37" s="42"/>
      <c r="C37" s="42"/>
      <c r="D37" s="42"/>
      <c r="E37" s="42"/>
      <c r="F37" s="43"/>
      <c r="G37" s="43"/>
      <c r="H37" s="43"/>
      <c r="I37" s="43"/>
      <c r="J37" s="43"/>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ht="30.75" customHeight="1">
      <c r="A40" s="1"/>
      <c r="B40" s="34" t="s">
        <v>20</v>
      </c>
      <c r="C40" s="34"/>
      <c r="D40" s="34"/>
      <c r="E40" s="34"/>
      <c r="F40" s="34"/>
      <c r="G40" s="34"/>
      <c r="H40" s="34"/>
      <c r="I40" s="34"/>
      <c r="J40" s="34"/>
      <c r="K40" s="1"/>
    </row>
    <row r="41" spans="1:11">
      <c r="A41" s="1"/>
      <c r="B41" s="44" t="s">
        <v>21</v>
      </c>
      <c r="C41" s="44"/>
      <c r="D41" s="44"/>
      <c r="E41" s="33" t="s">
        <v>22</v>
      </c>
      <c r="F41" s="33"/>
      <c r="G41" s="33"/>
      <c r="H41" s="45" t="s">
        <v>23</v>
      </c>
      <c r="I41" s="45"/>
      <c r="J41" s="45"/>
      <c r="K41" s="1"/>
    </row>
    <row r="42" spans="1:11">
      <c r="A42" s="1"/>
      <c r="B42" s="44"/>
      <c r="C42" s="44"/>
      <c r="D42" s="44"/>
      <c r="E42" s="33"/>
      <c r="F42" s="33"/>
      <c r="G42" s="33"/>
      <c r="H42" s="45"/>
      <c r="I42" s="45"/>
      <c r="J42" s="45"/>
      <c r="K42" s="1"/>
    </row>
    <row r="43" spans="1:11">
      <c r="A43" s="1"/>
      <c r="B43" s="44"/>
      <c r="C43" s="44"/>
      <c r="D43" s="44"/>
      <c r="E43" s="33"/>
      <c r="F43" s="33"/>
      <c r="G43" s="33"/>
      <c r="H43" s="45"/>
      <c r="I43" s="45"/>
      <c r="J43" s="45"/>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21">
    <mergeCell ref="B2:J3"/>
    <mergeCell ref="B4:J4"/>
    <mergeCell ref="B5:J5"/>
    <mergeCell ref="B8:J10"/>
    <mergeCell ref="B13:J13"/>
    <mergeCell ref="B19:J19"/>
    <mergeCell ref="B20:J20"/>
    <mergeCell ref="B21:J21"/>
    <mergeCell ref="B22:J22"/>
    <mergeCell ref="B23:J23"/>
    <mergeCell ref="B24:J24"/>
    <mergeCell ref="B27:J27"/>
    <mergeCell ref="B29:D32"/>
    <mergeCell ref="E29:G32"/>
    <mergeCell ref="H29:J32"/>
    <mergeCell ref="B34:E37"/>
    <mergeCell ref="F34:J37"/>
    <mergeCell ref="B40:J40"/>
    <mergeCell ref="B41:D43"/>
    <mergeCell ref="E41:G43"/>
    <mergeCell ref="H41:J4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3"/>
  <sheetViews>
    <sheetView showGridLines="0" tabSelected="1" workbookViewId="0">
      <selection activeCell="E29" sqref="E29"/>
    </sheetView>
  </sheetViews>
  <sheetFormatPr baseColWidth="10" defaultColWidth="8.8984375" defaultRowHeight="13.8"/>
  <cols>
    <col min="1" max="1" width="3" customWidth="1"/>
    <col min="2" max="2" width="29" customWidth="1"/>
    <col min="3" max="3" width="16" customWidth="1"/>
    <col min="4" max="4" width="18" customWidth="1"/>
    <col min="5" max="5" width="17" customWidth="1"/>
    <col min="6" max="6" width="18" customWidth="1"/>
    <col min="7" max="7" width="8" customWidth="1"/>
    <col min="8" max="10" width="22" customWidth="1"/>
    <col min="11" max="11" width="3" customWidth="1"/>
  </cols>
  <sheetData>
    <row r="1" spans="1:11">
      <c r="A1" s="1"/>
      <c r="B1" s="1"/>
      <c r="C1" s="1"/>
      <c r="D1" s="1"/>
      <c r="E1" s="1"/>
      <c r="F1" s="1"/>
      <c r="G1" s="1"/>
      <c r="H1" s="1"/>
      <c r="I1" s="1"/>
      <c r="J1" s="1"/>
      <c r="K1" s="1"/>
    </row>
    <row r="2" spans="1:11" ht="45.15" customHeight="1">
      <c r="A2" s="1"/>
      <c r="B2" s="37" t="s">
        <v>24</v>
      </c>
      <c r="C2" s="37"/>
      <c r="D2" s="37"/>
      <c r="E2" s="37"/>
      <c r="F2" s="37"/>
      <c r="G2" s="37"/>
      <c r="H2" s="37"/>
      <c r="I2" s="37"/>
      <c r="J2" s="37"/>
      <c r="K2" s="1"/>
    </row>
    <row r="3" spans="1:11" ht="30.75" customHeight="1">
      <c r="A3" s="1"/>
      <c r="B3" s="38" t="s">
        <v>25</v>
      </c>
      <c r="C3" s="38"/>
      <c r="D3" s="38"/>
      <c r="E3" s="38"/>
      <c r="F3" s="38"/>
      <c r="G3" s="38"/>
      <c r="H3" s="38"/>
      <c r="I3" s="38"/>
      <c r="J3" s="38"/>
      <c r="K3" s="1"/>
    </row>
    <row r="4" spans="1:11" ht="6.75" customHeight="1">
      <c r="A4" s="1"/>
      <c r="B4" s="39"/>
      <c r="C4" s="39"/>
      <c r="D4" s="39"/>
      <c r="E4" s="39"/>
      <c r="F4" s="39"/>
      <c r="G4" s="39"/>
      <c r="H4" s="39"/>
      <c r="I4" s="39"/>
      <c r="J4" s="39"/>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34" t="s">
        <v>26</v>
      </c>
      <c r="C7" s="34"/>
      <c r="D7" s="34"/>
      <c r="E7" s="34"/>
      <c r="F7" s="34"/>
      <c r="G7" s="1"/>
      <c r="H7" s="1"/>
      <c r="I7" s="1"/>
      <c r="J7" s="1"/>
      <c r="K7" s="1"/>
    </row>
    <row r="8" spans="1:11" ht="37.35" customHeight="1">
      <c r="A8" s="1"/>
      <c r="B8" s="3" t="s">
        <v>27</v>
      </c>
      <c r="C8" s="3" t="s">
        <v>28</v>
      </c>
      <c r="D8" s="3" t="s">
        <v>29</v>
      </c>
      <c r="E8" s="3" t="s">
        <v>30</v>
      </c>
      <c r="F8" s="3" t="s">
        <v>31</v>
      </c>
      <c r="G8" s="1"/>
      <c r="H8" s="1"/>
      <c r="I8" s="1"/>
      <c r="J8" s="1"/>
      <c r="K8" s="1"/>
    </row>
    <row r="9" spans="1:11">
      <c r="A9" s="1"/>
      <c r="B9" s="4" t="s">
        <v>32</v>
      </c>
      <c r="C9" s="5">
        <v>1650</v>
      </c>
      <c r="D9" s="5">
        <v>620</v>
      </c>
      <c r="E9" s="14">
        <f>+C9-D9</f>
        <v>1030</v>
      </c>
      <c r="F9" s="16">
        <f>+E9/C9</f>
        <v>0.62424242424242427</v>
      </c>
      <c r="G9" s="19">
        <f>+E9/$E$13</f>
        <v>0.2536945812807882</v>
      </c>
      <c r="H9" s="1"/>
      <c r="I9" s="1"/>
      <c r="J9" s="1"/>
      <c r="K9" s="1"/>
    </row>
    <row r="10" spans="1:11">
      <c r="A10" s="1"/>
      <c r="B10" s="4" t="s">
        <v>33</v>
      </c>
      <c r="C10" s="5">
        <v>2900</v>
      </c>
      <c r="D10" s="5">
        <v>1750</v>
      </c>
      <c r="E10" s="14">
        <f>+C10-D10</f>
        <v>1150</v>
      </c>
      <c r="F10" s="16">
        <f>+E10/C10</f>
        <v>0.39655172413793105</v>
      </c>
      <c r="G10" s="19">
        <f>+E10/$E$13</f>
        <v>0.28325123152709358</v>
      </c>
      <c r="H10" s="1"/>
      <c r="I10" s="1"/>
      <c r="J10" s="1"/>
      <c r="K10" s="1"/>
    </row>
    <row r="11" spans="1:11">
      <c r="A11" s="1"/>
      <c r="B11" s="4" t="s">
        <v>34</v>
      </c>
      <c r="C11" s="5">
        <v>1250</v>
      </c>
      <c r="D11" s="5">
        <v>720</v>
      </c>
      <c r="E11" s="14">
        <f>+C11-D11</f>
        <v>530</v>
      </c>
      <c r="F11" s="16">
        <f>+E11/C11</f>
        <v>0.42399999999999999</v>
      </c>
      <c r="G11" s="19">
        <f>+E11/$E$13</f>
        <v>0.13054187192118227</v>
      </c>
      <c r="H11" s="1"/>
      <c r="I11" s="1"/>
      <c r="J11" s="1"/>
      <c r="K11" s="1"/>
    </row>
    <row r="12" spans="1:11">
      <c r="A12" s="1"/>
      <c r="B12" s="21" t="s">
        <v>35</v>
      </c>
      <c r="C12" s="22">
        <v>2400</v>
      </c>
      <c r="D12" s="22">
        <v>1050</v>
      </c>
      <c r="E12" s="23">
        <f>+C12-D12</f>
        <v>1350</v>
      </c>
      <c r="F12" s="24">
        <f>+E12/C12</f>
        <v>0.5625</v>
      </c>
      <c r="G12" s="25">
        <f>+E12/$E$13</f>
        <v>0.33251231527093594</v>
      </c>
      <c r="H12" s="1"/>
      <c r="I12" s="1"/>
      <c r="J12" s="1"/>
      <c r="K12" s="1"/>
    </row>
    <row r="13" spans="1:11">
      <c r="A13" s="1"/>
      <c r="B13" s="1" t="s">
        <v>128</v>
      </c>
      <c r="C13" s="15">
        <f>SUM(C9:C12)</f>
        <v>8200</v>
      </c>
      <c r="D13" s="15">
        <f>SUM(D9:D12)</f>
        <v>4140</v>
      </c>
      <c r="E13" s="15">
        <f>SUM(E9:E12)</f>
        <v>4060</v>
      </c>
      <c r="F13" s="17">
        <f>+E13/C13</f>
        <v>0.49512195121951219</v>
      </c>
      <c r="G13" s="20">
        <f>+E13/$E$13</f>
        <v>1</v>
      </c>
      <c r="H13" s="1"/>
      <c r="I13" s="1"/>
      <c r="J13" s="1"/>
      <c r="K13" s="1"/>
    </row>
    <row r="14" spans="1:11">
      <c r="A14" s="1"/>
      <c r="B14" s="1"/>
      <c r="C14" s="1"/>
      <c r="D14" s="1"/>
      <c r="E14" s="1"/>
      <c r="F14" s="1"/>
      <c r="G14" s="1"/>
      <c r="H14" s="1"/>
      <c r="I14" s="1"/>
      <c r="J14" s="1"/>
      <c r="K14" s="1"/>
    </row>
    <row r="15" spans="1:11">
      <c r="A15" s="1"/>
      <c r="B15" s="1" t="s">
        <v>130</v>
      </c>
      <c r="C15" s="13">
        <f>+E13+C21</f>
        <v>4440</v>
      </c>
      <c r="D15" s="1"/>
      <c r="E15" s="1"/>
      <c r="F15" s="1"/>
      <c r="G15" s="1"/>
      <c r="H15" s="1"/>
      <c r="I15" s="1"/>
      <c r="J15" s="1"/>
      <c r="K15" s="1"/>
    </row>
    <row r="16" spans="1:11">
      <c r="A16" s="1"/>
      <c r="B16" s="1"/>
      <c r="C16" s="1"/>
      <c r="D16" s="1"/>
      <c r="E16" s="1"/>
      <c r="F16" s="1"/>
      <c r="G16" s="1"/>
      <c r="H16" s="1"/>
      <c r="I16" s="1"/>
      <c r="J16" s="1"/>
      <c r="K16" s="1"/>
    </row>
    <row r="17" spans="1:11">
      <c r="A17" s="1"/>
      <c r="B17" s="1"/>
      <c r="C17" s="1"/>
      <c r="D17" s="1"/>
      <c r="E17" s="1"/>
      <c r="F17" s="1"/>
      <c r="G17" s="1"/>
      <c r="H17" s="1"/>
      <c r="I17" s="1"/>
      <c r="J17" s="1"/>
      <c r="K17" s="1"/>
    </row>
    <row r="18" spans="1:11" ht="30.75" customHeight="1">
      <c r="A18" s="1"/>
      <c r="B18" s="34" t="s">
        <v>36</v>
      </c>
      <c r="C18" s="34"/>
      <c r="D18" s="34"/>
      <c r="E18" s="34"/>
      <c r="F18" s="34"/>
      <c r="G18" s="1"/>
      <c r="H18" s="1"/>
      <c r="I18" s="1"/>
      <c r="J18" s="1"/>
      <c r="K18" s="1"/>
    </row>
    <row r="19" spans="1:11">
      <c r="A19" s="1"/>
      <c r="B19" s="4" t="s">
        <v>37</v>
      </c>
      <c r="C19" s="5">
        <v>420</v>
      </c>
      <c r="D19" s="1"/>
      <c r="E19" s="1"/>
      <c r="F19" s="1"/>
      <c r="G19" s="1"/>
      <c r="H19" s="1"/>
      <c r="I19" s="1"/>
      <c r="J19" s="1"/>
      <c r="K19" s="1"/>
    </row>
    <row r="20" spans="1:11">
      <c r="A20" s="1"/>
      <c r="B20" s="4" t="s">
        <v>38</v>
      </c>
      <c r="C20" s="5">
        <v>40</v>
      </c>
      <c r="D20" s="1"/>
      <c r="E20" s="1"/>
      <c r="F20" s="1"/>
      <c r="G20" s="1"/>
      <c r="H20" s="1"/>
      <c r="I20" s="1"/>
      <c r="J20" s="1"/>
      <c r="K20" s="1"/>
    </row>
    <row r="21" spans="1:11">
      <c r="A21" s="1"/>
      <c r="B21" s="1" t="s">
        <v>129</v>
      </c>
      <c r="C21" s="13">
        <f>+C19-C20</f>
        <v>380</v>
      </c>
      <c r="D21" s="1"/>
      <c r="E21" s="1"/>
      <c r="F21" s="1"/>
      <c r="G21" s="1"/>
      <c r="H21" s="1"/>
      <c r="I21" s="1"/>
      <c r="J21" s="1"/>
      <c r="K21" s="1"/>
    </row>
    <row r="22" spans="1:11">
      <c r="A22" s="1"/>
      <c r="B22" s="1"/>
      <c r="C22" s="1"/>
      <c r="D22" s="1"/>
      <c r="E22" s="1"/>
      <c r="F22" s="1"/>
      <c r="G22" s="1"/>
      <c r="H22" s="1"/>
      <c r="I22" s="1"/>
      <c r="J22" s="1"/>
      <c r="K22" s="1"/>
    </row>
    <row r="23" spans="1:11" ht="30.75" customHeight="1">
      <c r="A23" s="1"/>
      <c r="B23" s="34" t="s">
        <v>39</v>
      </c>
      <c r="C23" s="34"/>
      <c r="D23" s="34"/>
      <c r="E23" s="34"/>
      <c r="F23" s="34"/>
      <c r="G23" s="34"/>
      <c r="H23" s="1"/>
      <c r="I23" s="1"/>
      <c r="J23" s="1"/>
      <c r="K23" s="1"/>
    </row>
    <row r="24" spans="1:11" ht="33.15" customHeight="1">
      <c r="A24" s="1"/>
      <c r="B24" s="36" t="s">
        <v>40</v>
      </c>
      <c r="C24" s="36"/>
      <c r="D24" s="36"/>
      <c r="E24" s="87">
        <f>+E13</f>
        <v>4060</v>
      </c>
      <c r="F24" s="32"/>
      <c r="G24" s="32"/>
      <c r="H24" s="1"/>
      <c r="I24" s="1"/>
      <c r="J24" s="1"/>
      <c r="K24" s="1"/>
    </row>
    <row r="25" spans="1:11">
      <c r="A25" s="1"/>
      <c r="B25" s="1"/>
      <c r="C25" s="1"/>
      <c r="D25" s="1"/>
      <c r="E25" s="1"/>
      <c r="F25" s="1"/>
      <c r="G25" s="1"/>
      <c r="H25" s="1"/>
      <c r="I25" s="1"/>
      <c r="J25" s="1"/>
      <c r="K25" s="1"/>
    </row>
    <row r="26" spans="1:11" ht="33.15" customHeight="1">
      <c r="A26" s="1"/>
      <c r="B26" s="36" t="s">
        <v>41</v>
      </c>
      <c r="C26" s="36"/>
      <c r="D26" s="36"/>
      <c r="E26" s="88">
        <f>+C21</f>
        <v>380</v>
      </c>
      <c r="F26" s="32"/>
      <c r="G26" s="32"/>
      <c r="H26" s="1"/>
      <c r="I26" s="1"/>
      <c r="J26" s="1"/>
      <c r="K26" s="1"/>
    </row>
    <row r="27" spans="1:11">
      <c r="A27" s="1"/>
      <c r="B27" s="1"/>
      <c r="C27" s="1"/>
      <c r="D27" s="1"/>
      <c r="E27" s="1"/>
      <c r="F27" s="1"/>
      <c r="G27" s="1"/>
      <c r="H27" s="1"/>
      <c r="I27" s="1"/>
      <c r="J27" s="1"/>
      <c r="K27" s="1"/>
    </row>
    <row r="28" spans="1:11" ht="33.15" customHeight="1">
      <c r="A28" s="1"/>
      <c r="B28" s="36" t="s">
        <v>42</v>
      </c>
      <c r="C28" s="36"/>
      <c r="D28" s="36"/>
      <c r="E28" s="88">
        <f>+C15</f>
        <v>4440</v>
      </c>
      <c r="F28" s="32"/>
      <c r="G28" s="32"/>
      <c r="H28" s="1"/>
      <c r="I28" s="1"/>
      <c r="J28" s="1"/>
      <c r="K28" s="1"/>
    </row>
    <row r="29" spans="1:11">
      <c r="A29" s="1"/>
      <c r="B29" s="1"/>
      <c r="C29" s="1"/>
      <c r="D29" s="1"/>
      <c r="E29" s="1"/>
      <c r="F29" s="1"/>
      <c r="G29" s="1"/>
      <c r="H29" s="1"/>
      <c r="I29" s="1"/>
      <c r="J29" s="1"/>
      <c r="K29" s="1"/>
    </row>
    <row r="30" spans="1:11">
      <c r="A30" s="1"/>
      <c r="B30" s="1"/>
      <c r="C30" s="1"/>
      <c r="D30" s="1"/>
      <c r="E30" s="1"/>
      <c r="F30" s="1"/>
      <c r="G30" s="1"/>
      <c r="H30" s="1"/>
      <c r="I30" s="1"/>
      <c r="J30" s="1"/>
      <c r="K30" s="1"/>
    </row>
    <row r="31" spans="1:11" ht="30.75" customHeight="1">
      <c r="A31" s="1"/>
      <c r="B31" s="34" t="s">
        <v>43</v>
      </c>
      <c r="C31" s="34"/>
      <c r="D31" s="34"/>
      <c r="E31" s="34"/>
      <c r="F31" s="34"/>
      <c r="G31" s="34"/>
      <c r="H31" s="1"/>
      <c r="I31" s="1"/>
      <c r="J31" s="1"/>
      <c r="K31" s="1"/>
    </row>
    <row r="32" spans="1:11">
      <c r="A32" s="1"/>
      <c r="B32" s="35" t="s">
        <v>131</v>
      </c>
      <c r="C32" s="35"/>
      <c r="D32" s="35"/>
      <c r="E32" s="35"/>
      <c r="F32" s="35"/>
      <c r="G32" s="35"/>
      <c r="H32" s="1"/>
      <c r="I32" s="1"/>
      <c r="J32" s="1"/>
      <c r="K32" s="1"/>
    </row>
    <row r="33" spans="1:11">
      <c r="A33" s="1"/>
      <c r="B33" s="35"/>
      <c r="C33" s="35"/>
      <c r="D33" s="35"/>
      <c r="E33" s="35"/>
      <c r="F33" s="35"/>
      <c r="G33" s="35"/>
      <c r="H33" s="1"/>
      <c r="I33" s="1"/>
      <c r="J33" s="1"/>
      <c r="K33" s="1"/>
    </row>
    <row r="34" spans="1:11">
      <c r="A34" s="1"/>
      <c r="B34" s="35"/>
      <c r="C34" s="35"/>
      <c r="D34" s="35"/>
      <c r="E34" s="35"/>
      <c r="F34" s="35"/>
      <c r="G34" s="35"/>
      <c r="H34" s="1"/>
      <c r="I34" s="1"/>
      <c r="J34" s="1"/>
      <c r="K34" s="1"/>
    </row>
    <row r="35" spans="1:11">
      <c r="A35" s="1"/>
      <c r="B35" s="35"/>
      <c r="C35" s="35"/>
      <c r="D35" s="35"/>
      <c r="E35" s="35"/>
      <c r="F35" s="35"/>
      <c r="G35" s="35"/>
      <c r="H35" s="1"/>
      <c r="I35" s="1"/>
      <c r="J35" s="1"/>
      <c r="K35" s="1"/>
    </row>
    <row r="36" spans="1:11">
      <c r="A36" s="1"/>
      <c r="B36" s="1"/>
      <c r="C36" s="1"/>
      <c r="D36" s="1"/>
      <c r="E36" s="1"/>
      <c r="F36" s="1"/>
      <c r="G36" s="1"/>
      <c r="H36" s="1"/>
      <c r="I36" s="1"/>
      <c r="J36" s="1"/>
      <c r="K36" s="1"/>
    </row>
    <row r="37" spans="1:11">
      <c r="A37" s="1"/>
      <c r="B37" s="1"/>
      <c r="C37" s="1"/>
      <c r="D37" s="1"/>
      <c r="E37" s="1"/>
      <c r="F37" s="1"/>
      <c r="G37" s="1"/>
      <c r="H37" s="1"/>
      <c r="I37" s="1"/>
      <c r="J37" s="1"/>
      <c r="K37" s="1"/>
    </row>
    <row r="38" spans="1:11" ht="30.75" customHeight="1">
      <c r="A38" s="1"/>
      <c r="B38" s="29" t="s">
        <v>44</v>
      </c>
      <c r="C38" s="29"/>
      <c r="D38" s="29"/>
      <c r="E38" s="29"/>
      <c r="F38" s="29"/>
      <c r="G38" s="29"/>
      <c r="H38" s="29"/>
      <c r="I38" s="29"/>
      <c r="J38" s="29"/>
      <c r="K38" s="1"/>
    </row>
    <row r="39" spans="1:11">
      <c r="A39" s="1"/>
      <c r="B39" s="30" t="s">
        <v>45</v>
      </c>
      <c r="C39" s="30"/>
      <c r="D39" s="30"/>
      <c r="E39" s="30"/>
      <c r="F39" s="30"/>
      <c r="G39" s="30"/>
      <c r="H39" s="30"/>
      <c r="I39" s="30"/>
      <c r="J39" s="30"/>
      <c r="K39" s="1"/>
    </row>
    <row r="40" spans="1:11">
      <c r="A40" s="1"/>
      <c r="B40" s="30"/>
      <c r="C40" s="30"/>
      <c r="D40" s="30"/>
      <c r="E40" s="30"/>
      <c r="F40" s="30"/>
      <c r="G40" s="30"/>
      <c r="H40" s="30"/>
      <c r="I40" s="30"/>
      <c r="J40" s="30"/>
      <c r="K40" s="1"/>
    </row>
    <row r="41" spans="1:11">
      <c r="A41" s="1"/>
      <c r="B41" s="30"/>
      <c r="C41" s="30"/>
      <c r="D41" s="30"/>
      <c r="E41" s="30"/>
      <c r="F41" s="30"/>
      <c r="G41" s="30"/>
      <c r="H41" s="30"/>
      <c r="I41" s="30"/>
      <c r="J41" s="30"/>
      <c r="K41" s="1"/>
    </row>
    <row r="42" spans="1:11">
      <c r="A42" s="1"/>
      <c r="B42" s="1"/>
      <c r="C42" s="1"/>
      <c r="D42" s="1"/>
      <c r="E42" s="1"/>
      <c r="F42" s="1"/>
      <c r="G42" s="1"/>
      <c r="H42" s="1"/>
      <c r="I42" s="1"/>
      <c r="J42" s="1"/>
      <c r="K42" s="1"/>
    </row>
    <row r="43" spans="1:11">
      <c r="A43" s="1"/>
      <c r="B43" s="1"/>
      <c r="C43" s="1"/>
      <c r="D43" s="1"/>
      <c r="E43" s="1"/>
      <c r="F43" s="1"/>
      <c r="G43" s="1"/>
      <c r="H43" s="1"/>
      <c r="I43" s="1"/>
      <c r="J43" s="1"/>
      <c r="K43" s="1"/>
    </row>
    <row r="44" spans="1:11" ht="41.25" customHeight="1">
      <c r="A44" s="1"/>
      <c r="B44" s="50" t="s">
        <v>132</v>
      </c>
      <c r="C44" s="50"/>
      <c r="D44" s="50"/>
      <c r="E44" s="50"/>
      <c r="F44" s="50"/>
      <c r="G44" s="50"/>
      <c r="H44" s="50"/>
      <c r="I44" s="50"/>
      <c r="J44" s="50"/>
      <c r="K44" s="1"/>
    </row>
    <row r="45" spans="1:11" ht="32.1" customHeight="1">
      <c r="A45" s="1"/>
      <c r="B45" s="28" t="s">
        <v>133</v>
      </c>
      <c r="C45" s="28"/>
      <c r="D45" s="28"/>
      <c r="E45" s="28"/>
      <c r="F45" s="28"/>
      <c r="G45" s="28"/>
      <c r="H45" s="28"/>
      <c r="I45" s="28"/>
      <c r="J45" s="28"/>
      <c r="K45" s="1"/>
    </row>
    <row r="46" spans="1:11" ht="32.1" customHeight="1">
      <c r="A46" s="1"/>
      <c r="B46" s="28"/>
      <c r="C46" s="28"/>
      <c r="D46" s="28"/>
      <c r="E46" s="28"/>
      <c r="F46" s="28"/>
      <c r="G46" s="28"/>
      <c r="H46" s="28"/>
      <c r="I46" s="28"/>
      <c r="J46" s="28"/>
      <c r="K46" s="1"/>
    </row>
    <row r="47" spans="1:11" ht="32.1" customHeight="1">
      <c r="A47" s="1"/>
      <c r="B47" s="28"/>
      <c r="C47" s="28"/>
      <c r="D47" s="28"/>
      <c r="E47" s="28"/>
      <c r="F47" s="28"/>
      <c r="G47" s="28"/>
      <c r="H47" s="28"/>
      <c r="I47" s="28"/>
      <c r="J47" s="28"/>
      <c r="K47" s="1"/>
    </row>
    <row r="48" spans="1:11" ht="32.1" customHeight="1">
      <c r="A48" s="1"/>
      <c r="B48" s="28"/>
      <c r="C48" s="28"/>
      <c r="D48" s="28"/>
      <c r="E48" s="28"/>
      <c r="F48" s="28"/>
      <c r="G48" s="28"/>
      <c r="H48" s="28"/>
      <c r="I48" s="28"/>
      <c r="J48" s="28"/>
      <c r="K48" s="1"/>
    </row>
    <row r="49" spans="1:11" ht="32.1" customHeight="1">
      <c r="A49" s="1"/>
      <c r="B49" s="28"/>
      <c r="C49" s="28"/>
      <c r="D49" s="28"/>
      <c r="E49" s="28"/>
      <c r="F49" s="28"/>
      <c r="G49" s="28"/>
      <c r="H49" s="28"/>
      <c r="I49" s="28"/>
      <c r="J49" s="28"/>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row r="53" spans="1:11">
      <c r="A53" s="1"/>
      <c r="B53" s="1"/>
      <c r="C53" s="1"/>
      <c r="D53" s="1"/>
      <c r="E53" s="1"/>
      <c r="F53" s="1"/>
      <c r="G53" s="1"/>
      <c r="H53" s="1"/>
      <c r="I53" s="1"/>
      <c r="J53" s="1"/>
      <c r="K53" s="1"/>
    </row>
  </sheetData>
  <mergeCells count="18">
    <mergeCell ref="B2:J2"/>
    <mergeCell ref="B3:J3"/>
    <mergeCell ref="B4:J4"/>
    <mergeCell ref="B7:F7"/>
    <mergeCell ref="B18:F18"/>
    <mergeCell ref="B23:G23"/>
    <mergeCell ref="B24:D24"/>
    <mergeCell ref="E24:G24"/>
    <mergeCell ref="B26:D26"/>
    <mergeCell ref="E26:G26"/>
    <mergeCell ref="B39:J41"/>
    <mergeCell ref="B44:J44"/>
    <mergeCell ref="B45:J49"/>
    <mergeCell ref="B28:D28"/>
    <mergeCell ref="E28:G28"/>
    <mergeCell ref="B31:G31"/>
    <mergeCell ref="B32:G35"/>
    <mergeCell ref="B38:J38"/>
  </mergeCells>
  <pageMargins left="0.7" right="0.7" top="0.75" bottom="0.75" header="0.3" footer="0.3"/>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3"/>
  <sheetViews>
    <sheetView showGridLines="0" workbookViewId="0">
      <selection activeCell="E26" sqref="E26"/>
    </sheetView>
  </sheetViews>
  <sheetFormatPr baseColWidth="10" defaultColWidth="8.8984375" defaultRowHeight="13.8"/>
  <cols>
    <col min="1" max="1" width="3" customWidth="1"/>
    <col min="2" max="2" width="37" customWidth="1"/>
    <col min="3" max="3" width="18" customWidth="1"/>
    <col min="4" max="4" width="4" customWidth="1"/>
    <col min="5" max="7" width="20" customWidth="1"/>
    <col min="8" max="8" width="7.69921875" customWidth="1"/>
    <col min="9" max="11" width="3" customWidth="1"/>
  </cols>
  <sheetData>
    <row r="1" spans="1:11">
      <c r="A1" s="1"/>
      <c r="B1" s="1"/>
      <c r="C1" s="1"/>
      <c r="D1" s="1"/>
      <c r="E1" s="1"/>
      <c r="F1" s="1"/>
      <c r="G1" s="1"/>
      <c r="H1" s="1"/>
      <c r="I1" s="1"/>
      <c r="J1" s="1"/>
      <c r="K1" s="1"/>
    </row>
    <row r="2" spans="1:11" ht="45.15" customHeight="1">
      <c r="A2" s="1"/>
      <c r="B2" s="37" t="s">
        <v>46</v>
      </c>
      <c r="C2" s="37"/>
      <c r="D2" s="37"/>
      <c r="E2" s="37"/>
      <c r="F2" s="37"/>
      <c r="G2" s="37"/>
      <c r="H2" s="1"/>
      <c r="I2" s="1"/>
      <c r="J2" s="1"/>
      <c r="K2" s="1"/>
    </row>
    <row r="3" spans="1:11" ht="30.75" customHeight="1">
      <c r="A3" s="1"/>
      <c r="B3" s="38" t="s">
        <v>47</v>
      </c>
      <c r="C3" s="38"/>
      <c r="D3" s="38"/>
      <c r="E3" s="38"/>
      <c r="F3" s="38"/>
      <c r="G3" s="38"/>
      <c r="H3" s="1"/>
      <c r="I3" s="1"/>
      <c r="J3" s="1"/>
      <c r="K3" s="1"/>
    </row>
    <row r="4" spans="1:11" ht="6.75" customHeight="1">
      <c r="A4" s="1"/>
      <c r="B4" s="39"/>
      <c r="C4" s="39"/>
      <c r="D4" s="39"/>
      <c r="E4" s="39"/>
      <c r="F4" s="39"/>
      <c r="G4" s="39"/>
      <c r="H4" s="1"/>
      <c r="I4" s="1"/>
      <c r="J4" s="1"/>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34" t="s">
        <v>48</v>
      </c>
      <c r="C7" s="34"/>
      <c r="D7" s="1"/>
      <c r="E7" s="1"/>
      <c r="F7" s="1"/>
      <c r="G7" s="1"/>
      <c r="H7" s="1"/>
      <c r="I7" s="1"/>
      <c r="J7" s="1"/>
      <c r="K7" s="1"/>
    </row>
    <row r="8" spans="1:11" ht="37.35" customHeight="1">
      <c r="A8" s="1"/>
      <c r="B8" s="3" t="s">
        <v>49</v>
      </c>
      <c r="C8" s="3" t="s">
        <v>50</v>
      </c>
      <c r="D8" s="1"/>
      <c r="E8" s="1"/>
      <c r="F8" s="27" t="s">
        <v>147</v>
      </c>
      <c r="G8" s="1"/>
      <c r="H8" s="1"/>
      <c r="I8" s="1"/>
      <c r="J8" s="1"/>
      <c r="K8" s="1"/>
    </row>
    <row r="9" spans="1:11">
      <c r="A9" s="1"/>
      <c r="B9" s="4" t="s">
        <v>51</v>
      </c>
      <c r="C9" s="8">
        <v>5100</v>
      </c>
      <c r="D9" s="1" t="s">
        <v>134</v>
      </c>
      <c r="E9" s="1"/>
      <c r="F9" s="1" t="s">
        <v>140</v>
      </c>
      <c r="G9" s="26">
        <f>+C11+C12</f>
        <v>1580</v>
      </c>
      <c r="H9" s="1"/>
      <c r="I9" s="1"/>
      <c r="J9" s="1"/>
      <c r="K9" s="1"/>
    </row>
    <row r="10" spans="1:11">
      <c r="A10" s="1"/>
      <c r="B10" s="4" t="s">
        <v>52</v>
      </c>
      <c r="C10" s="8">
        <v>1150</v>
      </c>
      <c r="D10" s="1" t="s">
        <v>135</v>
      </c>
      <c r="E10" s="1"/>
      <c r="F10" s="1" t="s">
        <v>141</v>
      </c>
      <c r="G10" s="26">
        <f>+C13-C14</f>
        <v>-390</v>
      </c>
      <c r="H10" s="1"/>
      <c r="I10" s="1"/>
      <c r="J10" s="1"/>
      <c r="K10" s="1"/>
    </row>
    <row r="11" spans="1:11">
      <c r="A11" s="1"/>
      <c r="B11" s="4" t="s">
        <v>53</v>
      </c>
      <c r="C11" s="8">
        <v>1700</v>
      </c>
      <c r="D11" s="1" t="s">
        <v>137</v>
      </c>
      <c r="E11" s="1"/>
      <c r="F11" s="1" t="s">
        <v>142</v>
      </c>
      <c r="G11" s="26">
        <f>+C9+G9+C10+G10</f>
        <v>7440</v>
      </c>
      <c r="H11" s="1"/>
      <c r="I11" s="1"/>
      <c r="J11" s="1"/>
      <c r="K11" s="1"/>
    </row>
    <row r="12" spans="1:11">
      <c r="A12" s="1"/>
      <c r="B12" s="4" t="s">
        <v>54</v>
      </c>
      <c r="C12" s="8">
        <v>-120</v>
      </c>
      <c r="D12" s="1" t="s">
        <v>136</v>
      </c>
      <c r="E12" s="1"/>
      <c r="F12" s="1"/>
      <c r="G12" s="1"/>
      <c r="H12" s="1"/>
      <c r="I12" s="1"/>
      <c r="J12" s="1"/>
      <c r="K12" s="1"/>
    </row>
    <row r="13" spans="1:11">
      <c r="A13" s="1"/>
      <c r="B13" s="4" t="s">
        <v>55</v>
      </c>
      <c r="C13" s="8">
        <v>1250</v>
      </c>
      <c r="D13" s="1" t="s">
        <v>138</v>
      </c>
      <c r="E13" s="1"/>
      <c r="F13" s="1" t="s">
        <v>143</v>
      </c>
      <c r="G13" s="1"/>
      <c r="H13" s="1"/>
      <c r="I13" s="1"/>
      <c r="J13" s="1"/>
      <c r="K13" s="1"/>
    </row>
    <row r="14" spans="1:11">
      <c r="A14" s="1"/>
      <c r="B14" s="4" t="s">
        <v>56</v>
      </c>
      <c r="C14" s="8">
        <v>1640</v>
      </c>
      <c r="D14" s="1" t="s">
        <v>139</v>
      </c>
      <c r="E14" s="1"/>
      <c r="F14" s="1" t="s">
        <v>144</v>
      </c>
      <c r="G14" s="1">
        <v>5350</v>
      </c>
      <c r="H14" s="1"/>
      <c r="I14" s="1"/>
      <c r="J14" s="1"/>
      <c r="K14" s="1"/>
    </row>
    <row r="15" spans="1:11">
      <c r="A15" s="1"/>
      <c r="B15" s="1"/>
      <c r="C15" s="1"/>
      <c r="D15" s="1"/>
      <c r="E15" s="1"/>
      <c r="F15" s="1" t="s">
        <v>145</v>
      </c>
      <c r="G15" s="26">
        <f>+G14+G9+G10+C10</f>
        <v>7690</v>
      </c>
      <c r="H15" s="1"/>
      <c r="I15" s="1"/>
      <c r="J15" s="1"/>
      <c r="K15" s="1"/>
    </row>
    <row r="16" spans="1:11">
      <c r="A16" s="1"/>
      <c r="B16" s="1"/>
      <c r="C16" s="1"/>
      <c r="D16" s="1"/>
      <c r="E16" s="1"/>
      <c r="F16" s="1" t="s">
        <v>146</v>
      </c>
      <c r="G16" s="26">
        <f>+G15-G11</f>
        <v>250</v>
      </c>
      <c r="H16" s="18">
        <f>+G16/G11</f>
        <v>3.3602150537634407E-2</v>
      </c>
      <c r="I16" s="1"/>
      <c r="J16" s="1"/>
      <c r="K16" s="1"/>
    </row>
    <row r="17" spans="1:11">
      <c r="A17" s="1"/>
      <c r="B17" s="1"/>
      <c r="C17" s="1"/>
      <c r="D17" s="1"/>
      <c r="E17" s="1"/>
      <c r="F17" s="1"/>
      <c r="G17" s="26"/>
      <c r="H17" s="1"/>
      <c r="I17" s="1"/>
      <c r="J17" s="1"/>
      <c r="K17" s="1"/>
    </row>
    <row r="18" spans="1:11" ht="30.75" customHeight="1">
      <c r="A18" s="1"/>
      <c r="B18" s="34" t="s">
        <v>57</v>
      </c>
      <c r="C18" s="34"/>
      <c r="D18" s="34"/>
      <c r="E18" s="34"/>
      <c r="F18" s="34"/>
      <c r="G18" s="34"/>
      <c r="H18" s="1"/>
      <c r="I18" s="1"/>
      <c r="J18" s="1"/>
      <c r="K18" s="1"/>
    </row>
    <row r="19" spans="1:11" ht="33.15" customHeight="1">
      <c r="A19" s="1"/>
      <c r="B19" s="36" t="s">
        <v>58</v>
      </c>
      <c r="C19" s="36"/>
      <c r="D19" s="36"/>
      <c r="E19" s="86">
        <f>+G9</f>
        <v>1580</v>
      </c>
      <c r="F19" s="32"/>
      <c r="G19" s="32"/>
      <c r="H19" s="1"/>
      <c r="I19" s="1"/>
      <c r="J19" s="1"/>
      <c r="K19" s="1"/>
    </row>
    <row r="20" spans="1:11">
      <c r="A20" s="1"/>
      <c r="B20" s="1"/>
      <c r="C20" s="1"/>
      <c r="D20" s="1"/>
      <c r="E20" s="1"/>
      <c r="F20" s="1"/>
      <c r="G20" s="1"/>
      <c r="H20" s="1"/>
      <c r="I20" s="1"/>
      <c r="J20" s="1"/>
      <c r="K20" s="1"/>
    </row>
    <row r="21" spans="1:11" ht="33.15" customHeight="1">
      <c r="A21" s="1"/>
      <c r="B21" s="36" t="s">
        <v>59</v>
      </c>
      <c r="C21" s="36"/>
      <c r="D21" s="36"/>
      <c r="E21" s="86">
        <f>+G10</f>
        <v>-390</v>
      </c>
      <c r="F21" s="32"/>
      <c r="G21" s="32"/>
      <c r="H21" s="1"/>
      <c r="I21" s="1"/>
      <c r="J21" s="1"/>
      <c r="K21" s="1"/>
    </row>
    <row r="22" spans="1:11">
      <c r="A22" s="1"/>
      <c r="B22" s="1"/>
      <c r="C22" s="1"/>
      <c r="D22" s="1"/>
      <c r="E22" s="1"/>
      <c r="F22" s="1"/>
      <c r="G22" s="1"/>
      <c r="H22" s="1"/>
      <c r="I22" s="1"/>
      <c r="J22" s="1"/>
      <c r="K22" s="1"/>
    </row>
    <row r="23" spans="1:11" ht="33.15" customHeight="1">
      <c r="A23" s="1"/>
      <c r="B23" s="36" t="s">
        <v>60</v>
      </c>
      <c r="C23" s="36"/>
      <c r="D23" s="36"/>
      <c r="E23" s="86">
        <f>+G11</f>
        <v>7440</v>
      </c>
      <c r="F23" s="32"/>
      <c r="G23" s="32"/>
      <c r="H23" s="1"/>
      <c r="I23" s="1"/>
      <c r="J23" s="1"/>
      <c r="K23" s="1"/>
    </row>
    <row r="24" spans="1:11">
      <c r="A24" s="1"/>
      <c r="B24" s="1"/>
      <c r="C24" s="1"/>
      <c r="D24" s="1"/>
      <c r="E24" s="1"/>
      <c r="F24" s="1"/>
      <c r="G24" s="1"/>
      <c r="H24" s="1"/>
      <c r="I24" s="1"/>
      <c r="J24" s="1"/>
      <c r="K24" s="1"/>
    </row>
    <row r="25" spans="1:11" ht="33.15" customHeight="1">
      <c r="A25" s="1"/>
      <c r="B25" s="36" t="s">
        <v>61</v>
      </c>
      <c r="C25" s="36"/>
      <c r="D25" s="36"/>
      <c r="E25" s="86">
        <f>+G15</f>
        <v>7690</v>
      </c>
      <c r="F25" s="32"/>
      <c r="G25" s="32"/>
      <c r="H25" s="1"/>
      <c r="I25" s="1"/>
      <c r="J25" s="1"/>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34" t="s">
        <v>43</v>
      </c>
      <c r="C28" s="34"/>
      <c r="D28" s="34"/>
      <c r="E28" s="34"/>
      <c r="F28" s="34"/>
      <c r="G28" s="34"/>
      <c r="H28" s="1"/>
      <c r="I28" s="1"/>
      <c r="J28" s="1"/>
      <c r="K28" s="1"/>
    </row>
    <row r="29" spans="1:11">
      <c r="A29" s="1"/>
      <c r="B29" s="35" t="s">
        <v>62</v>
      </c>
      <c r="C29" s="35"/>
      <c r="D29" s="35"/>
      <c r="E29" s="35"/>
      <c r="F29" s="35"/>
      <c r="G29" s="35"/>
      <c r="H29" s="1"/>
      <c r="I29" s="1"/>
      <c r="J29" s="1"/>
      <c r="K29" s="1"/>
    </row>
    <row r="30" spans="1:11">
      <c r="A30" s="1"/>
      <c r="B30" s="35"/>
      <c r="C30" s="35"/>
      <c r="D30" s="35"/>
      <c r="E30" s="35"/>
      <c r="F30" s="35"/>
      <c r="G30" s="35"/>
      <c r="H30" s="1"/>
      <c r="I30" s="1"/>
      <c r="J30" s="1"/>
      <c r="K30" s="1"/>
    </row>
    <row r="31" spans="1:11">
      <c r="A31" s="1"/>
      <c r="B31" s="35"/>
      <c r="C31" s="35"/>
      <c r="D31" s="35"/>
      <c r="E31" s="35"/>
      <c r="F31" s="35"/>
      <c r="G31" s="35"/>
      <c r="H31" s="1"/>
      <c r="I31" s="1"/>
      <c r="J31" s="1"/>
      <c r="K31" s="1"/>
    </row>
    <row r="32" spans="1:11">
      <c r="A32" s="1"/>
      <c r="B32" s="35"/>
      <c r="C32" s="35"/>
      <c r="D32" s="35"/>
      <c r="E32" s="35"/>
      <c r="F32" s="35"/>
      <c r="G32" s="35"/>
      <c r="H32" s="1"/>
      <c r="I32" s="1"/>
      <c r="J32" s="1"/>
      <c r="K32" s="1"/>
    </row>
    <row r="33" spans="1:11">
      <c r="A33" s="1"/>
      <c r="B33" s="35"/>
      <c r="C33" s="35"/>
      <c r="D33" s="35"/>
      <c r="E33" s="35"/>
      <c r="F33" s="35"/>
      <c r="G33" s="35"/>
      <c r="H33" s="1"/>
      <c r="I33" s="1"/>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ht="30.75" customHeight="1">
      <c r="A36" s="1"/>
      <c r="B36" s="29" t="s">
        <v>63</v>
      </c>
      <c r="C36" s="29"/>
      <c r="D36" s="29"/>
      <c r="E36" s="29"/>
      <c r="F36" s="29"/>
      <c r="G36" s="29"/>
      <c r="H36" s="1"/>
      <c r="I36" s="1"/>
      <c r="J36" s="1"/>
      <c r="K36" s="1"/>
    </row>
    <row r="37" spans="1:11">
      <c r="A37" s="1"/>
      <c r="B37" s="30" t="s">
        <v>64</v>
      </c>
      <c r="C37" s="30"/>
      <c r="D37" s="30"/>
      <c r="E37" s="30"/>
      <c r="F37" s="30"/>
      <c r="G37" s="30"/>
      <c r="H37" s="1"/>
      <c r="I37" s="1"/>
      <c r="J37" s="1"/>
      <c r="K37" s="1"/>
    </row>
    <row r="38" spans="1:11">
      <c r="A38" s="1"/>
      <c r="B38" s="30"/>
      <c r="C38" s="30"/>
      <c r="D38" s="30"/>
      <c r="E38" s="30"/>
      <c r="F38" s="30"/>
      <c r="G38" s="30"/>
      <c r="H38" s="1"/>
      <c r="I38" s="1"/>
      <c r="J38" s="1"/>
      <c r="K38" s="1"/>
    </row>
    <row r="39" spans="1:11">
      <c r="A39" s="1"/>
      <c r="B39" s="30"/>
      <c r="C39" s="30"/>
      <c r="D39" s="30"/>
      <c r="E39" s="30"/>
      <c r="F39" s="30"/>
      <c r="G39" s="30"/>
      <c r="H39" s="1"/>
      <c r="I39" s="1"/>
      <c r="J39" s="1"/>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ht="41.25" customHeight="1">
      <c r="A42" s="1"/>
      <c r="B42" s="31" t="s">
        <v>65</v>
      </c>
      <c r="C42" s="31"/>
      <c r="D42" s="31"/>
      <c r="E42" s="31"/>
      <c r="F42" s="31"/>
      <c r="G42" s="31"/>
      <c r="H42" s="1"/>
      <c r="I42" s="1"/>
      <c r="J42" s="1"/>
      <c r="K42" s="1"/>
    </row>
    <row r="43" spans="1:11" ht="32.1" customHeight="1">
      <c r="A43" s="1"/>
      <c r="B43" s="51" t="s">
        <v>148</v>
      </c>
      <c r="C43" s="52"/>
      <c r="D43" s="52"/>
      <c r="E43" s="52"/>
      <c r="F43" s="52"/>
      <c r="G43" s="53"/>
      <c r="H43" s="1"/>
      <c r="I43" s="1"/>
      <c r="J43" s="1"/>
      <c r="K43" s="1"/>
    </row>
    <row r="44" spans="1:11" ht="32.1" customHeight="1">
      <c r="A44" s="1"/>
      <c r="B44" s="54"/>
      <c r="C44" s="28"/>
      <c r="D44" s="28"/>
      <c r="E44" s="28"/>
      <c r="F44" s="28"/>
      <c r="G44" s="55"/>
      <c r="H44" s="1"/>
      <c r="I44" s="1"/>
      <c r="J44" s="1"/>
      <c r="K44" s="1"/>
    </row>
    <row r="45" spans="1:11" ht="32.1" customHeight="1">
      <c r="A45" s="1"/>
      <c r="B45" s="54"/>
      <c r="C45" s="28"/>
      <c r="D45" s="28"/>
      <c r="E45" s="28"/>
      <c r="F45" s="28"/>
      <c r="G45" s="55"/>
      <c r="H45" s="1"/>
      <c r="I45" s="1"/>
      <c r="J45" s="1"/>
      <c r="K45" s="1"/>
    </row>
    <row r="46" spans="1:11" ht="32.1" customHeight="1">
      <c r="A46" s="1"/>
      <c r="B46" s="54"/>
      <c r="C46" s="28"/>
      <c r="D46" s="28"/>
      <c r="E46" s="28"/>
      <c r="F46" s="28"/>
      <c r="G46" s="55"/>
      <c r="H46" s="1"/>
      <c r="I46" s="1"/>
      <c r="J46" s="1"/>
      <c r="K46" s="1"/>
    </row>
    <row r="47" spans="1:11" ht="32.1" customHeight="1">
      <c r="A47" s="1"/>
      <c r="B47" s="54"/>
      <c r="C47" s="28"/>
      <c r="D47" s="28"/>
      <c r="E47" s="28"/>
      <c r="F47" s="28"/>
      <c r="G47" s="55"/>
      <c r="H47" s="1"/>
      <c r="I47" s="1"/>
      <c r="J47" s="1"/>
      <c r="K47" s="1"/>
    </row>
    <row r="48" spans="1:11" ht="32.1" customHeight="1">
      <c r="A48" s="1"/>
      <c r="B48" s="56"/>
      <c r="C48" s="57"/>
      <c r="D48" s="57"/>
      <c r="E48" s="57"/>
      <c r="F48" s="57"/>
      <c r="G48" s="58"/>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row r="53" spans="1:11">
      <c r="A53" s="1"/>
      <c r="B53" s="1"/>
      <c r="C53" s="1"/>
      <c r="D53" s="1"/>
      <c r="E53" s="1"/>
      <c r="F53" s="1"/>
      <c r="G53" s="1"/>
      <c r="H53" s="1"/>
      <c r="I53" s="1"/>
      <c r="J53" s="1"/>
      <c r="K53" s="1"/>
    </row>
  </sheetData>
  <mergeCells count="19">
    <mergeCell ref="B2:G2"/>
    <mergeCell ref="B3:G3"/>
    <mergeCell ref="B4:G4"/>
    <mergeCell ref="B7:C7"/>
    <mergeCell ref="B18:G18"/>
    <mergeCell ref="B19:D19"/>
    <mergeCell ref="E19:G19"/>
    <mergeCell ref="B21:D21"/>
    <mergeCell ref="E21:G21"/>
    <mergeCell ref="B23:D23"/>
    <mergeCell ref="E23:G23"/>
    <mergeCell ref="B37:G39"/>
    <mergeCell ref="B42:G42"/>
    <mergeCell ref="B43:G48"/>
    <mergeCell ref="B25:D25"/>
    <mergeCell ref="E25:G25"/>
    <mergeCell ref="B28:G28"/>
    <mergeCell ref="B29:G33"/>
    <mergeCell ref="B36:G36"/>
  </mergeCells>
  <pageMargins left="0.7" right="0.7" top="0.75" bottom="0.75" header="0.3" footer="0.3"/>
  <pageSetup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2"/>
  <sheetViews>
    <sheetView showGridLines="0" workbookViewId="0">
      <selection activeCell="E20" sqref="E20"/>
    </sheetView>
  </sheetViews>
  <sheetFormatPr baseColWidth="10" defaultColWidth="8.8984375" defaultRowHeight="13.8"/>
  <cols>
    <col min="1" max="1" width="3" customWidth="1"/>
    <col min="2" max="2" width="39" customWidth="1"/>
    <col min="3" max="3" width="18" customWidth="1"/>
    <col min="4" max="4" width="20" customWidth="1"/>
    <col min="5" max="5" width="4" customWidth="1"/>
    <col min="6" max="9" width="22" customWidth="1"/>
    <col min="10" max="11" width="3" customWidth="1"/>
  </cols>
  <sheetData>
    <row r="1" spans="1:11">
      <c r="A1" s="1"/>
      <c r="B1" s="1"/>
      <c r="C1" s="1"/>
      <c r="D1" s="1"/>
      <c r="E1" s="1"/>
      <c r="F1" s="1"/>
      <c r="G1" s="1"/>
      <c r="H1" s="1"/>
      <c r="I1" s="1"/>
      <c r="J1" s="1"/>
      <c r="K1" s="1"/>
    </row>
    <row r="2" spans="1:11" ht="45.15" customHeight="1">
      <c r="A2" s="1"/>
      <c r="B2" s="37" t="s">
        <v>66</v>
      </c>
      <c r="C2" s="37"/>
      <c r="D2" s="37"/>
      <c r="E2" s="37"/>
      <c r="F2" s="37"/>
      <c r="G2" s="37"/>
      <c r="H2" s="37"/>
      <c r="I2" s="37"/>
      <c r="J2" s="1"/>
      <c r="K2" s="1"/>
    </row>
    <row r="3" spans="1:11" ht="30.75" customHeight="1">
      <c r="A3" s="1"/>
      <c r="B3" s="38" t="s">
        <v>67</v>
      </c>
      <c r="C3" s="38"/>
      <c r="D3" s="38"/>
      <c r="E3" s="38"/>
      <c r="F3" s="38"/>
      <c r="G3" s="38"/>
      <c r="H3" s="38"/>
      <c r="I3" s="38"/>
      <c r="J3" s="1"/>
      <c r="K3" s="1"/>
    </row>
    <row r="4" spans="1:11" ht="6.75" customHeight="1">
      <c r="A4" s="1"/>
      <c r="B4" s="39"/>
      <c r="C4" s="39"/>
      <c r="D4" s="39"/>
      <c r="E4" s="39"/>
      <c r="F4" s="39"/>
      <c r="G4" s="39"/>
      <c r="H4" s="39"/>
      <c r="I4" s="39"/>
      <c r="J4" s="1"/>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34" t="s">
        <v>68</v>
      </c>
      <c r="C7" s="34"/>
      <c r="D7" s="34"/>
      <c r="E7" s="1"/>
      <c r="F7" s="1"/>
      <c r="G7" s="1"/>
      <c r="H7" s="1"/>
      <c r="I7" s="1"/>
      <c r="J7" s="1"/>
      <c r="K7" s="1"/>
    </row>
    <row r="8" spans="1:11" ht="37.35" customHeight="1">
      <c r="A8" s="1"/>
      <c r="B8" s="3" t="s">
        <v>69</v>
      </c>
      <c r="C8" s="3" t="s">
        <v>50</v>
      </c>
      <c r="D8" s="3" t="s">
        <v>70</v>
      </c>
      <c r="E8" s="1"/>
      <c r="F8" s="1" t="s">
        <v>149</v>
      </c>
      <c r="G8" s="1"/>
      <c r="H8" s="1"/>
      <c r="I8" s="1"/>
      <c r="J8" s="1"/>
      <c r="K8" s="1"/>
    </row>
    <row r="9" spans="1:11">
      <c r="A9" s="1"/>
      <c r="B9" s="4" t="s">
        <v>71</v>
      </c>
      <c r="C9" s="5">
        <v>4250</v>
      </c>
      <c r="D9" s="16">
        <f t="shared" ref="D9:D14" si="0">+C9/$C$14</f>
        <v>0.54347826086956519</v>
      </c>
      <c r="E9" s="1"/>
      <c r="F9" s="1" t="s">
        <v>150</v>
      </c>
      <c r="G9" s="13">
        <f>+C12-C13</f>
        <v>730</v>
      </c>
      <c r="H9" s="1"/>
      <c r="I9" s="1"/>
      <c r="J9" s="1"/>
      <c r="K9" s="1"/>
    </row>
    <row r="10" spans="1:11">
      <c r="A10" s="1"/>
      <c r="B10" s="4" t="s">
        <v>72</v>
      </c>
      <c r="C10" s="5">
        <v>2100</v>
      </c>
      <c r="D10" s="16">
        <f t="shared" si="0"/>
        <v>0.26854219948849106</v>
      </c>
      <c r="E10" s="1"/>
      <c r="F10" s="1" t="s">
        <v>151</v>
      </c>
      <c r="G10" s="13">
        <f>+C9+C10+C11+G9</f>
        <v>8040</v>
      </c>
      <c r="H10" s="1"/>
      <c r="I10" s="1"/>
      <c r="J10" s="1"/>
      <c r="K10" s="1"/>
    </row>
    <row r="11" spans="1:11">
      <c r="A11" s="1"/>
      <c r="B11" s="4" t="s">
        <v>73</v>
      </c>
      <c r="C11" s="5">
        <v>960</v>
      </c>
      <c r="D11" s="16">
        <f t="shared" si="0"/>
        <v>0.12276214833759591</v>
      </c>
      <c r="E11" s="1"/>
      <c r="F11" s="1"/>
      <c r="G11" s="1"/>
      <c r="H11" s="1"/>
      <c r="I11" s="1"/>
      <c r="J11" s="1"/>
      <c r="K11" s="1"/>
    </row>
    <row r="12" spans="1:11">
      <c r="A12" s="1"/>
      <c r="B12" s="4" t="s">
        <v>74</v>
      </c>
      <c r="C12" s="5">
        <v>620</v>
      </c>
      <c r="D12" s="16">
        <f t="shared" si="0"/>
        <v>7.9283887468030695E-2</v>
      </c>
      <c r="E12" s="1"/>
      <c r="F12" s="1"/>
      <c r="G12" s="1"/>
      <c r="H12" s="1"/>
      <c r="I12" s="1"/>
      <c r="J12" s="1"/>
      <c r="K12" s="1"/>
    </row>
    <row r="13" spans="1:11">
      <c r="A13" s="1"/>
      <c r="B13" s="4" t="s">
        <v>75</v>
      </c>
      <c r="C13" s="5">
        <v>-110</v>
      </c>
      <c r="D13" s="16">
        <f t="shared" si="0"/>
        <v>-1.4066496163682864E-2</v>
      </c>
      <c r="E13" s="1"/>
      <c r="F13" s="1"/>
      <c r="G13" s="1"/>
      <c r="H13" s="1"/>
      <c r="I13" s="1"/>
      <c r="J13" s="1"/>
      <c r="K13" s="1"/>
    </row>
    <row r="14" spans="1:11">
      <c r="A14" s="1"/>
      <c r="B14" s="1" t="s">
        <v>128</v>
      </c>
      <c r="C14" s="13">
        <f>SUM(C9:C13)</f>
        <v>7820</v>
      </c>
      <c r="D14" s="16">
        <f t="shared" si="0"/>
        <v>1</v>
      </c>
      <c r="E14" s="1"/>
      <c r="F14" s="1"/>
      <c r="G14" s="1"/>
      <c r="H14" s="1"/>
      <c r="I14" s="1"/>
      <c r="J14" s="1"/>
      <c r="K14" s="1"/>
    </row>
    <row r="15" spans="1:11">
      <c r="A15" s="1"/>
      <c r="B15" s="1"/>
      <c r="C15" s="1"/>
      <c r="D15" s="1"/>
      <c r="E15" s="1"/>
      <c r="F15" s="1"/>
      <c r="G15" s="1"/>
      <c r="H15" s="1"/>
      <c r="I15" s="1"/>
      <c r="J15" s="1"/>
      <c r="K15" s="1"/>
    </row>
    <row r="16" spans="1:11" ht="30.75" customHeight="1">
      <c r="A16" s="1"/>
      <c r="B16" s="34" t="s">
        <v>57</v>
      </c>
      <c r="C16" s="34"/>
      <c r="D16" s="34"/>
      <c r="E16" s="34"/>
      <c r="F16" s="34"/>
      <c r="G16" s="34"/>
      <c r="H16" s="1"/>
      <c r="I16" s="1"/>
      <c r="J16" s="1"/>
      <c r="K16" s="1"/>
    </row>
    <row r="17" spans="1:11" ht="33.15" customHeight="1">
      <c r="A17" s="1"/>
      <c r="B17" s="36" t="s">
        <v>76</v>
      </c>
      <c r="C17" s="36"/>
      <c r="D17" s="36"/>
      <c r="E17" s="32">
        <v>730</v>
      </c>
      <c r="F17" s="32"/>
      <c r="G17" s="32"/>
      <c r="H17" s="1"/>
      <c r="I17" s="1"/>
      <c r="J17" s="1"/>
      <c r="K17" s="1"/>
    </row>
    <row r="18" spans="1:11">
      <c r="A18" s="1"/>
      <c r="B18" s="1"/>
      <c r="C18" s="1"/>
      <c r="D18" s="1"/>
      <c r="E18" s="1"/>
      <c r="F18" s="1"/>
      <c r="G18" s="1"/>
      <c r="H18" s="1"/>
      <c r="I18" s="1"/>
      <c r="J18" s="1"/>
      <c r="K18" s="1"/>
    </row>
    <row r="19" spans="1:11" ht="33.15" customHeight="1">
      <c r="A19" s="1"/>
      <c r="B19" s="36" t="s">
        <v>77</v>
      </c>
      <c r="C19" s="36"/>
      <c r="D19" s="36"/>
      <c r="E19" s="32">
        <v>8040</v>
      </c>
      <c r="F19" s="32"/>
      <c r="G19" s="32"/>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34" t="s">
        <v>43</v>
      </c>
      <c r="C22" s="34"/>
      <c r="D22" s="34"/>
      <c r="E22" s="34"/>
      <c r="F22" s="34"/>
      <c r="G22" s="34"/>
      <c r="H22" s="1"/>
      <c r="I22" s="1"/>
      <c r="J22" s="1"/>
      <c r="K22" s="1"/>
    </row>
    <row r="23" spans="1:11">
      <c r="A23" s="1"/>
      <c r="B23" s="35" t="s">
        <v>78</v>
      </c>
      <c r="C23" s="35"/>
      <c r="D23" s="35"/>
      <c r="E23" s="35"/>
      <c r="F23" s="35"/>
      <c r="G23" s="35"/>
      <c r="H23" s="1"/>
      <c r="I23" s="1"/>
      <c r="J23" s="1"/>
      <c r="K23" s="1"/>
    </row>
    <row r="24" spans="1:11">
      <c r="A24" s="1"/>
      <c r="B24" s="35"/>
      <c r="C24" s="35"/>
      <c r="D24" s="35"/>
      <c r="E24" s="35"/>
      <c r="F24" s="35"/>
      <c r="G24" s="35"/>
      <c r="H24" s="1"/>
      <c r="I24" s="1"/>
      <c r="J24" s="1"/>
      <c r="K24" s="1"/>
    </row>
    <row r="25" spans="1:11">
      <c r="A25" s="1"/>
      <c r="B25" s="35"/>
      <c r="C25" s="35"/>
      <c r="D25" s="35"/>
      <c r="E25" s="35"/>
      <c r="F25" s="35"/>
      <c r="G25" s="35"/>
      <c r="H25" s="1"/>
      <c r="I25" s="1"/>
      <c r="J25" s="1"/>
      <c r="K25" s="1"/>
    </row>
    <row r="26" spans="1:11">
      <c r="A26" s="1"/>
      <c r="B26" s="35"/>
      <c r="C26" s="35"/>
      <c r="D26" s="35"/>
      <c r="E26" s="35"/>
      <c r="F26" s="35"/>
      <c r="G26" s="35"/>
      <c r="H26" s="1"/>
      <c r="I26" s="1"/>
      <c r="J26" s="1"/>
      <c r="K26" s="1"/>
    </row>
    <row r="27" spans="1:11">
      <c r="A27" s="1"/>
      <c r="B27" s="35"/>
      <c r="C27" s="35"/>
      <c r="D27" s="35"/>
      <c r="E27" s="35"/>
      <c r="F27" s="35"/>
      <c r="G27" s="35"/>
      <c r="H27" s="1"/>
      <c r="I27" s="1"/>
      <c r="J27" s="1"/>
      <c r="K27" s="1"/>
    </row>
    <row r="28" spans="1:11">
      <c r="A28" s="1"/>
      <c r="B28" s="1"/>
      <c r="C28" s="1"/>
      <c r="D28" s="1"/>
      <c r="E28" s="1"/>
      <c r="F28" s="1"/>
      <c r="G28" s="1"/>
      <c r="H28" s="1"/>
      <c r="I28" s="1"/>
      <c r="J28" s="1"/>
      <c r="K28" s="1"/>
    </row>
    <row r="29" spans="1:11">
      <c r="A29" s="1"/>
      <c r="B29" s="1"/>
      <c r="C29" s="1"/>
      <c r="D29" s="1"/>
      <c r="E29" s="1"/>
      <c r="F29" s="1"/>
      <c r="G29" s="1"/>
      <c r="H29" s="1"/>
      <c r="I29" s="1"/>
      <c r="J29" s="1"/>
      <c r="K29" s="1"/>
    </row>
    <row r="30" spans="1:11" ht="30.75" customHeight="1">
      <c r="A30" s="1"/>
      <c r="B30" s="29" t="s">
        <v>63</v>
      </c>
      <c r="C30" s="29"/>
      <c r="D30" s="29"/>
      <c r="E30" s="29"/>
      <c r="F30" s="29"/>
      <c r="G30" s="29"/>
      <c r="H30" s="29"/>
      <c r="I30" s="29"/>
      <c r="J30" s="1"/>
      <c r="K30" s="1"/>
    </row>
    <row r="31" spans="1:11">
      <c r="A31" s="1"/>
      <c r="B31" s="30" t="s">
        <v>79</v>
      </c>
      <c r="C31" s="30"/>
      <c r="D31" s="30"/>
      <c r="E31" s="30"/>
      <c r="F31" s="30"/>
      <c r="G31" s="30"/>
      <c r="H31" s="30"/>
      <c r="I31" s="30"/>
      <c r="J31" s="1"/>
      <c r="K31" s="1"/>
    </row>
    <row r="32" spans="1:11">
      <c r="A32" s="1"/>
      <c r="B32" s="30"/>
      <c r="C32" s="30"/>
      <c r="D32" s="30"/>
      <c r="E32" s="30"/>
      <c r="F32" s="30"/>
      <c r="G32" s="30"/>
      <c r="H32" s="30"/>
      <c r="I32" s="30"/>
      <c r="J32" s="1"/>
      <c r="K32" s="1"/>
    </row>
    <row r="33" spans="1:11">
      <c r="A33" s="1"/>
      <c r="B33" s="30"/>
      <c r="C33" s="30"/>
      <c r="D33" s="30"/>
      <c r="E33" s="30"/>
      <c r="F33" s="30"/>
      <c r="G33" s="30"/>
      <c r="H33" s="30"/>
      <c r="I33" s="30"/>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ht="41.25" customHeight="1">
      <c r="A36" s="1"/>
      <c r="B36" s="31" t="s">
        <v>80</v>
      </c>
      <c r="C36" s="31"/>
      <c r="D36" s="31"/>
      <c r="E36" s="31"/>
      <c r="F36" s="31"/>
      <c r="G36" s="31"/>
      <c r="H36" s="31"/>
      <c r="I36" s="31"/>
      <c r="J36" s="1"/>
      <c r="K36" s="1"/>
    </row>
    <row r="37" spans="1:11" ht="32.1" customHeight="1">
      <c r="A37" s="1"/>
      <c r="B37" s="28" t="s">
        <v>152</v>
      </c>
      <c r="C37" s="28"/>
      <c r="D37" s="28"/>
      <c r="E37" s="28"/>
      <c r="F37" s="28"/>
      <c r="G37" s="28"/>
      <c r="H37" s="28"/>
      <c r="I37" s="28"/>
      <c r="J37" s="1"/>
      <c r="K37" s="1"/>
    </row>
    <row r="38" spans="1:11" ht="32.1" customHeight="1">
      <c r="A38" s="1"/>
      <c r="B38" s="28"/>
      <c r="C38" s="28"/>
      <c r="D38" s="28"/>
      <c r="E38" s="28"/>
      <c r="F38" s="28"/>
      <c r="G38" s="28"/>
      <c r="H38" s="28"/>
      <c r="I38" s="28"/>
      <c r="J38" s="1"/>
      <c r="K38" s="1"/>
    </row>
    <row r="39" spans="1:11" ht="32.1" customHeight="1">
      <c r="A39" s="1"/>
      <c r="B39" s="28"/>
      <c r="C39" s="28"/>
      <c r="D39" s="28"/>
      <c r="E39" s="28"/>
      <c r="F39" s="28"/>
      <c r="G39" s="28"/>
      <c r="H39" s="28"/>
      <c r="I39" s="28"/>
      <c r="J39" s="1"/>
      <c r="K39" s="1"/>
    </row>
    <row r="40" spans="1:11" ht="32.1" customHeight="1">
      <c r="A40" s="1"/>
      <c r="B40" s="28"/>
      <c r="C40" s="28"/>
      <c r="D40" s="28"/>
      <c r="E40" s="28"/>
      <c r="F40" s="28"/>
      <c r="G40" s="28"/>
      <c r="H40" s="28"/>
      <c r="I40" s="28"/>
      <c r="J40" s="1"/>
      <c r="K40" s="1"/>
    </row>
    <row r="41" spans="1:11" ht="32.1" customHeight="1">
      <c r="A41" s="1"/>
      <c r="B41" s="28"/>
      <c r="C41" s="28"/>
      <c r="D41" s="28"/>
      <c r="E41" s="28"/>
      <c r="F41" s="28"/>
      <c r="G41" s="28"/>
      <c r="H41" s="28"/>
      <c r="I41" s="28"/>
      <c r="J41" s="1"/>
      <c r="K41" s="1"/>
    </row>
    <row r="42" spans="1:11" ht="32.1" customHeight="1">
      <c r="A42" s="1"/>
      <c r="B42" s="28"/>
      <c r="C42" s="28"/>
      <c r="D42" s="28"/>
      <c r="E42" s="28"/>
      <c r="F42" s="28"/>
      <c r="G42" s="28"/>
      <c r="H42" s="28"/>
      <c r="I42" s="28"/>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15">
    <mergeCell ref="B2:I2"/>
    <mergeCell ref="B3:I3"/>
    <mergeCell ref="B4:I4"/>
    <mergeCell ref="B7:D7"/>
    <mergeCell ref="B16:G16"/>
    <mergeCell ref="B17:D17"/>
    <mergeCell ref="E17:G17"/>
    <mergeCell ref="B19:D19"/>
    <mergeCell ref="E19:G19"/>
    <mergeCell ref="B22:G22"/>
    <mergeCell ref="B23:G27"/>
    <mergeCell ref="B30:I30"/>
    <mergeCell ref="B31:I33"/>
    <mergeCell ref="B36:I36"/>
    <mergeCell ref="B37:I4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5"/>
  <sheetViews>
    <sheetView showGridLines="0" topLeftCell="A17" workbookViewId="0">
      <selection activeCell="H24" sqref="H24:J25"/>
    </sheetView>
  </sheetViews>
  <sheetFormatPr baseColWidth="10" defaultColWidth="8.8984375" defaultRowHeight="13.8"/>
  <cols>
    <col min="1" max="1" width="3" customWidth="1"/>
    <col min="2" max="2" width="29" customWidth="1"/>
    <col min="3" max="3" width="22.69921875" customWidth="1"/>
    <col min="4" max="4" width="9.8984375" customWidth="1"/>
    <col min="5" max="5" width="31" customWidth="1"/>
    <col min="6" max="6" width="17" customWidth="1"/>
    <col min="7" max="7" width="4" customWidth="1"/>
    <col min="8" max="10" width="20" customWidth="1"/>
    <col min="11" max="11" width="3" customWidth="1"/>
  </cols>
  <sheetData>
    <row r="1" spans="1:11">
      <c r="A1" s="1"/>
      <c r="B1" s="1"/>
      <c r="C1" s="1"/>
      <c r="D1" s="1"/>
      <c r="E1" s="1"/>
      <c r="F1" s="1"/>
      <c r="G1" s="1"/>
      <c r="H1" s="1"/>
      <c r="I1" s="1"/>
      <c r="J1" s="1"/>
      <c r="K1" s="1"/>
    </row>
    <row r="2" spans="1:11" ht="45.15" customHeight="1">
      <c r="A2" s="1"/>
      <c r="B2" s="37" t="s">
        <v>81</v>
      </c>
      <c r="C2" s="37"/>
      <c r="D2" s="37"/>
      <c r="E2" s="37"/>
      <c r="F2" s="37"/>
      <c r="G2" s="37"/>
      <c r="H2" s="37"/>
      <c r="I2" s="37"/>
      <c r="J2" s="37"/>
      <c r="K2" s="1"/>
    </row>
    <row r="3" spans="1:11" ht="30.75" customHeight="1">
      <c r="A3" s="1"/>
      <c r="B3" s="38" t="s">
        <v>82</v>
      </c>
      <c r="C3" s="38"/>
      <c r="D3" s="38"/>
      <c r="E3" s="38"/>
      <c r="F3" s="38"/>
      <c r="G3" s="38"/>
      <c r="H3" s="38"/>
      <c r="I3" s="38"/>
      <c r="J3" s="38"/>
      <c r="K3" s="1"/>
    </row>
    <row r="4" spans="1:11" ht="6.75" customHeight="1">
      <c r="A4" s="1"/>
      <c r="B4" s="39"/>
      <c r="C4" s="39"/>
      <c r="D4" s="39"/>
      <c r="E4" s="39"/>
      <c r="F4" s="39"/>
      <c r="G4" s="39"/>
      <c r="H4" s="39"/>
      <c r="I4" s="39"/>
      <c r="J4" s="39"/>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34" t="s">
        <v>83</v>
      </c>
      <c r="C7" s="34"/>
      <c r="D7" s="34"/>
      <c r="E7" s="34"/>
      <c r="F7" s="34"/>
      <c r="G7" s="34"/>
      <c r="H7" s="34"/>
      <c r="I7" s="34"/>
      <c r="J7" s="34"/>
      <c r="K7" s="1"/>
    </row>
    <row r="8" spans="1:11">
      <c r="A8" s="1"/>
      <c r="B8" s="40" t="s">
        <v>84</v>
      </c>
      <c r="C8" s="40"/>
      <c r="D8" s="40"/>
      <c r="E8" s="40"/>
      <c r="F8" s="41" t="s">
        <v>85</v>
      </c>
      <c r="G8" s="41"/>
      <c r="H8" s="41"/>
      <c r="I8" s="41"/>
      <c r="J8" s="41"/>
      <c r="K8" s="1"/>
    </row>
    <row r="9" spans="1:11">
      <c r="A9" s="1"/>
      <c r="B9" s="40"/>
      <c r="C9" s="40"/>
      <c r="D9" s="40"/>
      <c r="E9" s="40"/>
      <c r="F9" s="41"/>
      <c r="G9" s="41"/>
      <c r="H9" s="41"/>
      <c r="I9" s="41"/>
      <c r="J9" s="41"/>
      <c r="K9" s="1"/>
    </row>
    <row r="10" spans="1:11">
      <c r="A10" s="1"/>
      <c r="B10" s="40"/>
      <c r="C10" s="40"/>
      <c r="D10" s="40"/>
      <c r="E10" s="40"/>
      <c r="F10" s="41"/>
      <c r="G10" s="41"/>
      <c r="H10" s="41"/>
      <c r="I10" s="41"/>
      <c r="J10" s="41"/>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34" t="s">
        <v>86</v>
      </c>
      <c r="C13" s="34"/>
      <c r="D13" s="1"/>
      <c r="E13" s="34" t="s">
        <v>87</v>
      </c>
      <c r="F13" s="34"/>
      <c r="G13" s="1"/>
      <c r="H13" s="1"/>
      <c r="I13" s="1"/>
      <c r="J13" s="1"/>
      <c r="K13" s="1"/>
    </row>
    <row r="14" spans="1:11" ht="37.35" customHeight="1">
      <c r="A14" s="1"/>
      <c r="B14" s="3" t="s">
        <v>49</v>
      </c>
      <c r="C14" s="3" t="s">
        <v>50</v>
      </c>
      <c r="D14" s="1"/>
      <c r="E14" s="3" t="s">
        <v>49</v>
      </c>
      <c r="F14" s="3" t="s">
        <v>50</v>
      </c>
      <c r="G14" s="1"/>
      <c r="H14" s="1"/>
      <c r="I14" s="1"/>
      <c r="J14" s="1"/>
      <c r="K14" s="1"/>
    </row>
    <row r="15" spans="1:11">
      <c r="A15" s="1"/>
      <c r="B15" s="4" t="s">
        <v>88</v>
      </c>
      <c r="C15" s="5">
        <v>5200</v>
      </c>
      <c r="D15" s="1"/>
      <c r="E15" s="4" t="s">
        <v>71</v>
      </c>
      <c r="F15" s="5">
        <v>4300</v>
      </c>
      <c r="G15" s="1"/>
      <c r="H15" s="1"/>
      <c r="I15" s="1"/>
      <c r="J15" s="1"/>
      <c r="K15" s="1"/>
    </row>
    <row r="16" spans="1:11">
      <c r="A16" s="1"/>
      <c r="B16" s="4" t="s">
        <v>89</v>
      </c>
      <c r="C16" s="5">
        <v>1800</v>
      </c>
      <c r="D16" s="1"/>
      <c r="E16" s="4" t="s">
        <v>72</v>
      </c>
      <c r="F16" s="6"/>
      <c r="G16" s="1"/>
      <c r="H16" s="1"/>
      <c r="I16" s="1"/>
      <c r="J16" s="1"/>
      <c r="K16" s="1"/>
    </row>
    <row r="17" spans="1:11">
      <c r="A17" s="1"/>
      <c r="B17" s="4" t="s">
        <v>90</v>
      </c>
      <c r="C17" s="5">
        <v>1500</v>
      </c>
      <c r="D17" s="1"/>
      <c r="E17" s="4" t="s">
        <v>91</v>
      </c>
      <c r="F17" s="5">
        <v>1100</v>
      </c>
      <c r="G17" s="1"/>
      <c r="H17" s="1"/>
      <c r="I17" s="1"/>
      <c r="J17" s="1"/>
      <c r="K17" s="1"/>
    </row>
    <row r="18" spans="1:11">
      <c r="A18" s="1"/>
      <c r="B18" s="4" t="s">
        <v>92</v>
      </c>
      <c r="C18" s="5">
        <v>1100</v>
      </c>
      <c r="D18" s="1"/>
      <c r="E18" s="4" t="s">
        <v>93</v>
      </c>
      <c r="F18" s="5">
        <v>500</v>
      </c>
      <c r="G18" s="1"/>
      <c r="H18" s="1"/>
      <c r="I18" s="1"/>
      <c r="J18" s="1"/>
      <c r="K18" s="1"/>
    </row>
    <row r="19" spans="1:11">
      <c r="A19" s="1"/>
      <c r="B19" s="4" t="s">
        <v>94</v>
      </c>
      <c r="C19" s="6"/>
      <c r="D19" s="1"/>
      <c r="E19" s="1"/>
      <c r="F19" s="1"/>
      <c r="G19" s="1"/>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34" t="s">
        <v>95</v>
      </c>
      <c r="C22" s="34"/>
      <c r="D22" s="34"/>
      <c r="E22" s="34"/>
      <c r="F22" s="34"/>
      <c r="G22" s="34"/>
      <c r="H22" s="34"/>
      <c r="I22" s="34"/>
      <c r="J22" s="34"/>
      <c r="K22" s="1"/>
    </row>
    <row r="23" spans="1:11">
      <c r="A23" s="1"/>
      <c r="B23" s="36" t="s">
        <v>96</v>
      </c>
      <c r="C23" s="36"/>
      <c r="D23" s="36"/>
      <c r="E23" s="36" t="s">
        <v>97</v>
      </c>
      <c r="F23" s="36"/>
      <c r="G23" s="36"/>
      <c r="H23" s="36" t="s">
        <v>98</v>
      </c>
      <c r="I23" s="36"/>
      <c r="J23" s="36"/>
      <c r="K23" s="1"/>
    </row>
    <row r="24" spans="1:11">
      <c r="A24" s="1"/>
      <c r="B24" s="32">
        <v>600</v>
      </c>
      <c r="C24" s="32"/>
      <c r="D24" s="32"/>
      <c r="E24" s="32">
        <v>3100</v>
      </c>
      <c r="F24" s="32"/>
      <c r="G24" s="32"/>
      <c r="H24" s="33" t="s">
        <v>99</v>
      </c>
      <c r="I24" s="33"/>
      <c r="J24" s="33"/>
      <c r="K24" s="1"/>
    </row>
    <row r="25" spans="1:11">
      <c r="A25" s="1"/>
      <c r="B25" s="32"/>
      <c r="C25" s="32"/>
      <c r="D25" s="32"/>
      <c r="E25" s="32"/>
      <c r="F25" s="32"/>
      <c r="G25" s="32"/>
      <c r="H25" s="33"/>
      <c r="I25" s="33"/>
      <c r="J25" s="33"/>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34" t="s">
        <v>43</v>
      </c>
      <c r="C28" s="34"/>
      <c r="D28" s="34"/>
      <c r="E28" s="34"/>
      <c r="F28" s="34"/>
      <c r="G28" s="34"/>
      <c r="H28" s="34"/>
      <c r="I28" s="34"/>
      <c r="J28" s="34"/>
      <c r="K28" s="1"/>
    </row>
    <row r="29" spans="1:11" ht="13.8" customHeight="1">
      <c r="A29" s="1"/>
      <c r="B29" s="61" t="s">
        <v>100</v>
      </c>
      <c r="C29" s="61"/>
      <c r="D29" s="61"/>
      <c r="E29" s="61"/>
      <c r="F29" s="61"/>
      <c r="G29" s="61"/>
      <c r="H29" s="61"/>
      <c r="I29" s="61"/>
      <c r="J29" s="61"/>
      <c r="K29" s="1"/>
    </row>
    <row r="30" spans="1:11">
      <c r="A30" s="1"/>
      <c r="B30" s="62" t="s">
        <v>153</v>
      </c>
      <c r="C30" s="12" t="s">
        <v>154</v>
      </c>
      <c r="D30" s="12"/>
      <c r="E30" s="12"/>
      <c r="F30" s="12"/>
      <c r="G30" s="12"/>
      <c r="H30" s="12"/>
      <c r="I30" s="12"/>
      <c r="J30" s="12"/>
      <c r="K30" s="1"/>
    </row>
    <row r="31" spans="1:11">
      <c r="A31" s="1"/>
      <c r="B31" s="12"/>
      <c r="C31" s="12" t="s">
        <v>155</v>
      </c>
      <c r="D31" s="63">
        <v>9000</v>
      </c>
      <c r="E31" s="12"/>
      <c r="F31" s="12"/>
      <c r="G31" s="12"/>
      <c r="H31" s="12"/>
      <c r="I31" s="12"/>
      <c r="J31" s="12"/>
      <c r="K31" s="1"/>
    </row>
    <row r="32" spans="1:11">
      <c r="A32" s="1"/>
      <c r="B32" s="12"/>
      <c r="C32" s="12" t="s">
        <v>156</v>
      </c>
      <c r="D32" s="64">
        <f>9600-D31</f>
        <v>600</v>
      </c>
      <c r="E32" s="12" t="s">
        <v>158</v>
      </c>
      <c r="F32" s="12"/>
      <c r="G32" s="12"/>
      <c r="H32" s="12"/>
      <c r="I32" s="12"/>
      <c r="J32" s="12"/>
      <c r="K32" s="1"/>
    </row>
    <row r="33" spans="1:11">
      <c r="A33" s="1"/>
      <c r="B33" s="12"/>
      <c r="C33" s="12"/>
      <c r="D33" s="64"/>
      <c r="E33" s="12"/>
      <c r="F33" s="12"/>
      <c r="G33" s="12"/>
      <c r="H33" s="12"/>
      <c r="I33" s="12"/>
      <c r="J33" s="12"/>
      <c r="K33" s="1"/>
    </row>
    <row r="34" spans="1:11">
      <c r="A34" s="1"/>
      <c r="B34" s="12"/>
      <c r="C34" s="12"/>
      <c r="D34" s="64"/>
      <c r="E34" s="12"/>
      <c r="F34" s="12"/>
      <c r="G34" s="12"/>
      <c r="H34" s="12"/>
      <c r="I34" s="12"/>
      <c r="J34" s="12"/>
      <c r="K34" s="1"/>
    </row>
    <row r="35" spans="1:11">
      <c r="A35" s="1"/>
      <c r="B35" s="62" t="s">
        <v>159</v>
      </c>
      <c r="C35" s="65" t="s">
        <v>160</v>
      </c>
      <c r="D35" s="65"/>
      <c r="E35" s="65"/>
      <c r="F35" s="65"/>
      <c r="G35" s="12"/>
      <c r="H35" s="12"/>
      <c r="I35" s="12"/>
      <c r="J35" s="12"/>
      <c r="K35" s="1"/>
    </row>
    <row r="36" spans="1:11">
      <c r="A36" s="1"/>
      <c r="B36" s="12"/>
      <c r="C36" s="12" t="s">
        <v>161</v>
      </c>
      <c r="D36" s="64"/>
      <c r="E36" s="12"/>
      <c r="F36" s="12"/>
      <c r="G36" s="12"/>
      <c r="H36" s="12"/>
      <c r="I36" s="12"/>
      <c r="J36" s="12"/>
      <c r="K36" s="1"/>
    </row>
    <row r="37" spans="1:11">
      <c r="A37" s="1"/>
      <c r="B37" s="12"/>
      <c r="C37" s="66">
        <f>9000-5900</f>
        <v>3100</v>
      </c>
      <c r="D37" s="64"/>
      <c r="E37" s="61" t="s">
        <v>162</v>
      </c>
      <c r="F37" s="61"/>
      <c r="G37" s="12"/>
      <c r="H37" s="12"/>
      <c r="I37" s="12"/>
      <c r="J37" s="12"/>
      <c r="K37" s="1"/>
    </row>
    <row r="38" spans="1:11">
      <c r="A38" s="1"/>
      <c r="B38" s="12"/>
      <c r="C38" s="12"/>
      <c r="D38" s="64"/>
      <c r="E38" s="12"/>
      <c r="F38" s="12"/>
      <c r="G38" s="12"/>
      <c r="H38" s="12"/>
      <c r="I38" s="12"/>
      <c r="J38" s="12"/>
      <c r="K38" s="1"/>
    </row>
    <row r="39" spans="1:11">
      <c r="A39" s="1"/>
      <c r="B39" s="12"/>
      <c r="C39" s="12"/>
      <c r="D39" s="64"/>
      <c r="E39" s="12"/>
      <c r="F39" s="12"/>
      <c r="G39" s="12"/>
      <c r="H39" s="12"/>
      <c r="I39" s="12"/>
      <c r="J39" s="12"/>
      <c r="K39" s="1"/>
    </row>
    <row r="40" spans="1:11">
      <c r="A40" s="1"/>
      <c r="B40" s="62" t="s">
        <v>163</v>
      </c>
      <c r="C40" s="12"/>
      <c r="D40" s="64"/>
      <c r="E40" s="12"/>
      <c r="F40" s="12"/>
      <c r="G40" s="12"/>
      <c r="H40" s="12"/>
      <c r="I40" s="12"/>
      <c r="J40" s="12"/>
      <c r="K40" s="1"/>
    </row>
    <row r="41" spans="1:11" ht="14.4" thickBot="1">
      <c r="A41" s="1"/>
      <c r="B41" s="12"/>
      <c r="C41" s="12"/>
      <c r="D41" s="64"/>
      <c r="E41" s="12"/>
      <c r="F41" s="12"/>
      <c r="G41" s="12"/>
      <c r="H41" s="12"/>
      <c r="I41" s="12"/>
      <c r="J41" s="12"/>
      <c r="K41" s="1"/>
    </row>
    <row r="42" spans="1:11" ht="14.4" thickBot="1">
      <c r="A42" s="1"/>
      <c r="B42" s="76" t="s">
        <v>164</v>
      </c>
      <c r="C42" s="77" t="s">
        <v>170</v>
      </c>
      <c r="D42" s="78" t="s">
        <v>169</v>
      </c>
      <c r="E42" s="12"/>
      <c r="F42" s="12"/>
      <c r="G42" s="12"/>
      <c r="H42" s="12"/>
      <c r="I42" s="12"/>
      <c r="J42" s="12"/>
      <c r="K42" s="1"/>
    </row>
    <row r="43" spans="1:11">
      <c r="A43" s="1"/>
      <c r="B43" s="73" t="s">
        <v>165</v>
      </c>
      <c r="C43" s="74" t="s">
        <v>168</v>
      </c>
      <c r="D43" s="75">
        <v>9000</v>
      </c>
      <c r="E43" s="12"/>
      <c r="F43" s="12"/>
      <c r="G43" s="12"/>
      <c r="H43" s="12"/>
      <c r="I43" s="12"/>
      <c r="J43" s="12"/>
      <c r="K43" s="1"/>
    </row>
    <row r="44" spans="1:11">
      <c r="A44" s="1"/>
      <c r="B44" s="68" t="s">
        <v>166</v>
      </c>
      <c r="C44" s="67" t="s">
        <v>171</v>
      </c>
      <c r="D44" s="69">
        <f>5200+1800+1500+1100-600</f>
        <v>9000</v>
      </c>
      <c r="E44" s="12"/>
      <c r="F44" s="12"/>
      <c r="G44" s="12"/>
      <c r="H44" s="12"/>
      <c r="I44" s="12"/>
      <c r="J44" s="12"/>
      <c r="K44" s="1"/>
    </row>
    <row r="45" spans="1:11" ht="14.4" thickBot="1">
      <c r="A45" s="1"/>
      <c r="B45" s="70" t="s">
        <v>167</v>
      </c>
      <c r="C45" s="71" t="s">
        <v>172</v>
      </c>
      <c r="D45" s="72">
        <f>4300+3100+1100+500</f>
        <v>9000</v>
      </c>
      <c r="E45" s="61" t="s">
        <v>173</v>
      </c>
      <c r="F45" s="61"/>
      <c r="G45" s="12"/>
      <c r="H45" s="12"/>
      <c r="I45" s="12"/>
      <c r="J45" s="12"/>
      <c r="K45" s="1"/>
    </row>
    <row r="46" spans="1:11">
      <c r="A46" s="1"/>
      <c r="B46" s="12"/>
      <c r="C46" s="12"/>
      <c r="D46" s="64"/>
      <c r="E46" s="12"/>
      <c r="F46" s="12"/>
      <c r="G46" s="12"/>
      <c r="H46" s="12"/>
      <c r="I46" s="12"/>
      <c r="J46" s="12"/>
      <c r="K46" s="1"/>
    </row>
    <row r="47" spans="1:11">
      <c r="A47" s="1"/>
      <c r="B47" s="12"/>
      <c r="C47" s="12"/>
      <c r="D47" s="64"/>
      <c r="E47" s="12"/>
      <c r="F47" s="12"/>
      <c r="G47" s="12"/>
      <c r="H47" s="12"/>
      <c r="I47" s="12"/>
      <c r="J47" s="12"/>
      <c r="K47" s="1"/>
    </row>
    <row r="48" spans="1:11">
      <c r="A48" s="1"/>
      <c r="B48" s="12"/>
      <c r="C48" s="12"/>
      <c r="D48" s="64"/>
      <c r="E48" s="12"/>
      <c r="F48" s="12"/>
      <c r="G48" s="12"/>
      <c r="H48" s="12"/>
      <c r="I48" s="12"/>
      <c r="J48" s="12"/>
      <c r="K48" s="1"/>
    </row>
    <row r="49" spans="1:11">
      <c r="A49" s="1"/>
      <c r="B49" s="12"/>
      <c r="C49" s="12"/>
      <c r="D49" s="64"/>
      <c r="E49" s="12"/>
      <c r="F49" s="12"/>
      <c r="G49" s="12"/>
      <c r="H49" s="12"/>
      <c r="I49" s="12"/>
      <c r="J49" s="12"/>
      <c r="K49" s="1"/>
    </row>
    <row r="50" spans="1:11">
      <c r="A50" s="1"/>
      <c r="B50" s="12"/>
      <c r="C50" s="12" t="s">
        <v>157</v>
      </c>
      <c r="D50" s="12"/>
      <c r="E50" s="12"/>
      <c r="F50" s="12"/>
      <c r="G50" s="12"/>
      <c r="H50" s="12"/>
      <c r="I50" s="12"/>
      <c r="J50" s="12"/>
      <c r="K50" s="1"/>
    </row>
    <row r="51" spans="1:11">
      <c r="A51" s="1"/>
      <c r="B51" s="1"/>
      <c r="C51" s="1"/>
      <c r="D51" s="1"/>
      <c r="E51" s="1"/>
      <c r="F51" s="1"/>
      <c r="G51" s="1"/>
      <c r="H51" s="1"/>
      <c r="I51" s="1"/>
      <c r="J51" s="1"/>
      <c r="K51" s="1"/>
    </row>
    <row r="52" spans="1:11">
      <c r="A52" s="1"/>
      <c r="B52" s="1"/>
      <c r="C52" s="1"/>
      <c r="D52" s="1"/>
      <c r="E52" s="1"/>
      <c r="F52" s="1"/>
      <c r="G52" s="1"/>
      <c r="H52" s="1"/>
      <c r="I52" s="1"/>
      <c r="J52" s="1"/>
      <c r="K52" s="1"/>
    </row>
    <row r="53" spans="1:11" ht="30.75" customHeight="1">
      <c r="A53" s="1"/>
      <c r="B53" s="29" t="s">
        <v>101</v>
      </c>
      <c r="C53" s="29"/>
      <c r="D53" s="29"/>
      <c r="E53" s="29"/>
      <c r="F53" s="29"/>
      <c r="G53" s="29"/>
      <c r="H53" s="29"/>
      <c r="I53" s="29"/>
      <c r="J53" s="29"/>
      <c r="K53" s="1"/>
    </row>
    <row r="54" spans="1:11">
      <c r="A54" s="1"/>
      <c r="B54" s="30" t="s">
        <v>102</v>
      </c>
      <c r="C54" s="30"/>
      <c r="D54" s="30"/>
      <c r="E54" s="30"/>
      <c r="F54" s="30"/>
      <c r="G54" s="30"/>
      <c r="H54" s="30"/>
      <c r="I54" s="30"/>
      <c r="J54" s="30"/>
      <c r="K54" s="1"/>
    </row>
    <row r="55" spans="1:11">
      <c r="A55" s="1"/>
      <c r="B55" s="30"/>
      <c r="C55" s="30"/>
      <c r="D55" s="30"/>
      <c r="E55" s="30"/>
      <c r="F55" s="30"/>
      <c r="G55" s="30"/>
      <c r="H55" s="30"/>
      <c r="I55" s="30"/>
      <c r="J55" s="30"/>
      <c r="K55" s="1"/>
    </row>
    <row r="56" spans="1:11">
      <c r="A56" s="1"/>
      <c r="B56" s="30"/>
      <c r="C56" s="30"/>
      <c r="D56" s="30"/>
      <c r="E56" s="30"/>
      <c r="F56" s="30"/>
      <c r="G56" s="30"/>
      <c r="H56" s="30"/>
      <c r="I56" s="30"/>
      <c r="J56" s="30"/>
      <c r="K56" s="1"/>
    </row>
    <row r="57" spans="1:11">
      <c r="A57" s="1"/>
      <c r="B57" s="1"/>
      <c r="C57" s="1"/>
      <c r="D57" s="1"/>
      <c r="E57" s="1"/>
      <c r="F57" s="1"/>
      <c r="G57" s="1"/>
      <c r="H57" s="1"/>
      <c r="I57" s="1"/>
      <c r="J57" s="1"/>
      <c r="K57" s="1"/>
    </row>
    <row r="58" spans="1:11">
      <c r="A58" s="1"/>
      <c r="B58" s="1"/>
      <c r="C58" s="1"/>
      <c r="D58" s="1"/>
      <c r="E58" s="1"/>
      <c r="F58" s="1"/>
      <c r="G58" s="1"/>
      <c r="H58" s="1"/>
      <c r="I58" s="1"/>
      <c r="J58" s="1"/>
      <c r="K58" s="1"/>
    </row>
    <row r="59" spans="1:11" ht="41.25" customHeight="1">
      <c r="A59" s="1"/>
      <c r="B59" s="31" t="s">
        <v>103</v>
      </c>
      <c r="C59" s="31"/>
      <c r="D59" s="31"/>
      <c r="E59" s="31"/>
      <c r="F59" s="31"/>
      <c r="G59" s="31"/>
      <c r="H59" s="31"/>
      <c r="I59" s="31"/>
      <c r="J59" s="31"/>
      <c r="K59" s="1"/>
    </row>
    <row r="60" spans="1:11" ht="32.1" customHeight="1">
      <c r="A60" s="1"/>
      <c r="B60" s="79" t="s">
        <v>175</v>
      </c>
      <c r="C60" s="79"/>
      <c r="D60" s="79"/>
      <c r="E60" s="79"/>
      <c r="F60" s="79"/>
      <c r="G60" s="79"/>
      <c r="H60" s="79"/>
      <c r="I60" s="79"/>
      <c r="J60" s="79"/>
      <c r="K60" s="1"/>
    </row>
    <row r="61" spans="1:11" ht="32.1" customHeight="1">
      <c r="A61" s="1"/>
      <c r="B61" s="79"/>
      <c r="C61" s="79"/>
      <c r="D61" s="79"/>
      <c r="E61" s="79"/>
      <c r="F61" s="79"/>
      <c r="G61" s="79"/>
      <c r="H61" s="79"/>
      <c r="I61" s="79"/>
      <c r="J61" s="79"/>
      <c r="K61" s="1"/>
    </row>
    <row r="62" spans="1:11" ht="32.1" customHeight="1">
      <c r="A62" s="1"/>
      <c r="B62" s="79"/>
      <c r="C62" s="79"/>
      <c r="D62" s="79"/>
      <c r="E62" s="79"/>
      <c r="F62" s="79"/>
      <c r="G62" s="79"/>
      <c r="H62" s="79"/>
      <c r="I62" s="79"/>
      <c r="J62" s="79"/>
      <c r="K62" s="1"/>
    </row>
    <row r="63" spans="1:11" ht="32.1" customHeight="1">
      <c r="A63" s="1"/>
      <c r="B63" s="79"/>
      <c r="C63" s="79"/>
      <c r="D63" s="79"/>
      <c r="E63" s="79"/>
      <c r="F63" s="79"/>
      <c r="G63" s="79"/>
      <c r="H63" s="79"/>
      <c r="I63" s="79"/>
      <c r="J63" s="79"/>
      <c r="K63" s="1"/>
    </row>
    <row r="64" spans="1:11" ht="32.1" customHeight="1">
      <c r="A64" s="1"/>
      <c r="B64" s="79"/>
      <c r="C64" s="79"/>
      <c r="D64" s="79"/>
      <c r="E64" s="79"/>
      <c r="F64" s="79"/>
      <c r="G64" s="79"/>
      <c r="H64" s="79"/>
      <c r="I64" s="79"/>
      <c r="J64" s="79"/>
      <c r="K64" s="1"/>
    </row>
    <row r="65" spans="1:11">
      <c r="A65" s="1"/>
      <c r="B65" s="1"/>
      <c r="C65" s="1"/>
      <c r="D65" s="1"/>
      <c r="E65" s="1"/>
      <c r="F65" s="1"/>
      <c r="G65" s="1"/>
      <c r="H65" s="1"/>
      <c r="I65" s="1"/>
      <c r="J65" s="1"/>
      <c r="K65" s="1"/>
    </row>
    <row r="66" spans="1:11">
      <c r="A66" s="1"/>
      <c r="B66" s="1"/>
      <c r="C66" s="1"/>
      <c r="D66" s="1"/>
      <c r="E66" s="1"/>
      <c r="F66" s="1"/>
      <c r="G66" s="1"/>
      <c r="H66" s="1"/>
      <c r="I66" s="1"/>
      <c r="J66" s="1"/>
      <c r="K66" s="1"/>
    </row>
    <row r="67" spans="1:11" ht="41.25" customHeight="1">
      <c r="A67" s="1"/>
      <c r="B67" s="31" t="s">
        <v>104</v>
      </c>
      <c r="C67" s="31"/>
      <c r="D67" s="31"/>
      <c r="E67" s="31"/>
      <c r="F67" s="31"/>
      <c r="G67" s="31"/>
      <c r="H67" s="31"/>
      <c r="I67" s="31"/>
      <c r="J67" s="31"/>
      <c r="K67" s="1"/>
    </row>
    <row r="68" spans="1:11" ht="32.1" customHeight="1">
      <c r="A68" s="1"/>
      <c r="B68" s="79" t="s">
        <v>174</v>
      </c>
      <c r="C68" s="79"/>
      <c r="D68" s="79"/>
      <c r="E68" s="79"/>
      <c r="F68" s="79"/>
      <c r="G68" s="79"/>
      <c r="H68" s="79"/>
      <c r="I68" s="79"/>
      <c r="J68" s="79"/>
      <c r="K68" s="1"/>
    </row>
    <row r="69" spans="1:11" ht="32.1" customHeight="1">
      <c r="A69" s="1"/>
      <c r="B69" s="79"/>
      <c r="C69" s="79"/>
      <c r="D69" s="79"/>
      <c r="E69" s="79"/>
      <c r="F69" s="79"/>
      <c r="G69" s="79"/>
      <c r="H69" s="79"/>
      <c r="I69" s="79"/>
      <c r="J69" s="79"/>
      <c r="K69" s="1"/>
    </row>
    <row r="70" spans="1:11" ht="32.1" customHeight="1">
      <c r="A70" s="1"/>
      <c r="B70" s="79"/>
      <c r="C70" s="79"/>
      <c r="D70" s="79"/>
      <c r="E70" s="79"/>
      <c r="F70" s="79"/>
      <c r="G70" s="79"/>
      <c r="H70" s="79"/>
      <c r="I70" s="79"/>
      <c r="J70" s="79"/>
      <c r="K70" s="1"/>
    </row>
    <row r="71" spans="1:11" ht="32.1" customHeight="1">
      <c r="A71" s="1"/>
      <c r="B71" s="79"/>
      <c r="C71" s="79"/>
      <c r="D71" s="79"/>
      <c r="E71" s="79"/>
      <c r="F71" s="79"/>
      <c r="G71" s="79"/>
      <c r="H71" s="79"/>
      <c r="I71" s="79"/>
      <c r="J71" s="79"/>
      <c r="K71" s="1"/>
    </row>
    <row r="72" spans="1:11" ht="32.1" customHeight="1">
      <c r="A72" s="1"/>
      <c r="B72" s="79"/>
      <c r="C72" s="79"/>
      <c r="D72" s="79"/>
      <c r="E72" s="79"/>
      <c r="F72" s="79"/>
      <c r="G72" s="79"/>
      <c r="H72" s="79"/>
      <c r="I72" s="79"/>
      <c r="J72" s="79"/>
      <c r="K72" s="1"/>
    </row>
    <row r="73" spans="1:11">
      <c r="A73" s="1"/>
      <c r="B73" s="1"/>
      <c r="C73" s="1"/>
      <c r="D73" s="1"/>
      <c r="E73" s="1"/>
      <c r="F73" s="1"/>
      <c r="G73" s="1"/>
      <c r="H73" s="1"/>
      <c r="I73" s="1"/>
      <c r="J73" s="1"/>
      <c r="K73" s="1"/>
    </row>
    <row r="74" spans="1:11">
      <c r="A74" s="1"/>
      <c r="B74" s="1"/>
      <c r="C74" s="1"/>
      <c r="D74" s="1"/>
      <c r="E74" s="1"/>
      <c r="F74" s="1"/>
      <c r="G74" s="1"/>
      <c r="H74" s="1"/>
      <c r="I74" s="1"/>
      <c r="J74" s="1"/>
      <c r="K74" s="1"/>
    </row>
    <row r="75" spans="1:11">
      <c r="A75" s="1"/>
      <c r="B75" s="1"/>
      <c r="C75" s="1"/>
      <c r="D75" s="1"/>
      <c r="E75" s="1"/>
      <c r="F75" s="1"/>
      <c r="G75" s="1"/>
      <c r="H75" s="1"/>
      <c r="I75" s="1"/>
      <c r="J75" s="1"/>
      <c r="K75" s="1"/>
    </row>
  </sheetData>
  <mergeCells count="26">
    <mergeCell ref="C35:F35"/>
    <mergeCell ref="E37:F37"/>
    <mergeCell ref="E45:F45"/>
    <mergeCell ref="B2:J2"/>
    <mergeCell ref="B3:J3"/>
    <mergeCell ref="B4:J4"/>
    <mergeCell ref="B7:J7"/>
    <mergeCell ref="B8:E10"/>
    <mergeCell ref="F8:J10"/>
    <mergeCell ref="B13:C13"/>
    <mergeCell ref="E13:F13"/>
    <mergeCell ref="B22:J22"/>
    <mergeCell ref="B23:D23"/>
    <mergeCell ref="E23:G23"/>
    <mergeCell ref="H23:J23"/>
    <mergeCell ref="B24:D25"/>
    <mergeCell ref="E24:G25"/>
    <mergeCell ref="H24:J25"/>
    <mergeCell ref="B28:J28"/>
    <mergeCell ref="B29:J29"/>
    <mergeCell ref="B68:J72"/>
    <mergeCell ref="B53:J53"/>
    <mergeCell ref="B54:J56"/>
    <mergeCell ref="B59:J59"/>
    <mergeCell ref="B60:J64"/>
    <mergeCell ref="B67:J6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69"/>
  <sheetViews>
    <sheetView showGridLines="0" workbookViewId="0">
      <selection activeCell="B66" sqref="B66:J69"/>
    </sheetView>
  </sheetViews>
  <sheetFormatPr baseColWidth="10" defaultColWidth="8.8984375" defaultRowHeight="13.8"/>
  <cols>
    <col min="1" max="1" width="3" customWidth="1"/>
    <col min="2" max="2" width="38" customWidth="1"/>
    <col min="3" max="4" width="17" customWidth="1"/>
    <col min="5" max="6" width="18" customWidth="1"/>
    <col min="7" max="7" width="4" customWidth="1"/>
    <col min="8" max="10" width="20" customWidth="1"/>
    <col min="11" max="11" width="3" customWidth="1"/>
  </cols>
  <sheetData>
    <row r="1" spans="1:11">
      <c r="A1" s="1"/>
      <c r="B1" s="1"/>
      <c r="C1" s="1"/>
      <c r="D1" s="1"/>
      <c r="E1" s="1"/>
      <c r="F1" s="1"/>
      <c r="G1" s="1"/>
      <c r="H1" s="1"/>
      <c r="I1" s="1"/>
      <c r="J1" s="1"/>
      <c r="K1" s="1"/>
    </row>
    <row r="2" spans="1:11" ht="45.15" customHeight="1">
      <c r="A2" s="1"/>
      <c r="B2" s="37" t="s">
        <v>105</v>
      </c>
      <c r="C2" s="37"/>
      <c r="D2" s="37"/>
      <c r="E2" s="37"/>
      <c r="F2" s="37"/>
      <c r="G2" s="37"/>
      <c r="H2" s="37"/>
      <c r="I2" s="37"/>
      <c r="J2" s="37"/>
      <c r="K2" s="1"/>
    </row>
    <row r="3" spans="1:11" ht="30.75" customHeight="1">
      <c r="A3" s="1"/>
      <c r="B3" s="38" t="s">
        <v>106</v>
      </c>
      <c r="C3" s="38"/>
      <c r="D3" s="38"/>
      <c r="E3" s="38"/>
      <c r="F3" s="38"/>
      <c r="G3" s="38"/>
      <c r="H3" s="38"/>
      <c r="I3" s="38"/>
      <c r="J3" s="38"/>
      <c r="K3" s="1"/>
    </row>
    <row r="4" spans="1:11" ht="6.75" customHeight="1">
      <c r="A4" s="1"/>
      <c r="B4" s="39"/>
      <c r="C4" s="39"/>
      <c r="D4" s="39"/>
      <c r="E4" s="39"/>
      <c r="F4" s="39"/>
      <c r="G4" s="39"/>
      <c r="H4" s="39"/>
      <c r="I4" s="39"/>
      <c r="J4" s="39"/>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34" t="s">
        <v>107</v>
      </c>
      <c r="C7" s="34"/>
      <c r="D7" s="34"/>
      <c r="E7" s="34"/>
      <c r="F7" s="34"/>
      <c r="G7" s="34"/>
      <c r="H7" s="34"/>
      <c r="I7" s="34"/>
      <c r="J7" s="34"/>
      <c r="K7" s="1"/>
    </row>
    <row r="8" spans="1:11" ht="26.4">
      <c r="A8" s="1"/>
      <c r="B8" s="9" t="s">
        <v>108</v>
      </c>
      <c r="C8" s="60" t="s">
        <v>176</v>
      </c>
      <c r="D8" s="60"/>
      <c r="E8" s="60"/>
      <c r="F8" s="9" t="s">
        <v>109</v>
      </c>
      <c r="G8" s="10"/>
      <c r="H8" s="10" t="s">
        <v>179</v>
      </c>
      <c r="I8" s="10"/>
      <c r="J8" s="10"/>
      <c r="K8" s="1"/>
    </row>
    <row r="9" spans="1:11">
      <c r="A9" s="1"/>
      <c r="B9" s="1"/>
      <c r="C9" s="1"/>
      <c r="D9" s="1"/>
      <c r="E9" s="1"/>
      <c r="F9" s="1"/>
      <c r="G9" s="1"/>
      <c r="H9" s="1"/>
      <c r="I9" s="1"/>
      <c r="J9" s="1"/>
      <c r="K9" s="1"/>
    </row>
    <row r="10" spans="1:11" ht="26.4">
      <c r="A10" s="1"/>
      <c r="B10" s="9" t="s">
        <v>110</v>
      </c>
      <c r="C10" s="11" t="s">
        <v>177</v>
      </c>
      <c r="D10" s="11"/>
      <c r="E10" s="11"/>
      <c r="F10" s="9" t="s">
        <v>111</v>
      </c>
      <c r="G10" s="82" t="s">
        <v>178</v>
      </c>
      <c r="H10" s="60"/>
      <c r="I10" s="60"/>
      <c r="J10" s="60"/>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34" t="s">
        <v>112</v>
      </c>
      <c r="C13" s="34"/>
      <c r="D13" s="34"/>
      <c r="E13" s="34"/>
      <c r="F13" s="34"/>
      <c r="G13" s="34"/>
      <c r="H13" s="34"/>
      <c r="I13" s="34"/>
      <c r="J13" s="34"/>
      <c r="K13" s="1"/>
    </row>
    <row r="14" spans="1:11" ht="37.35" customHeight="1">
      <c r="A14" s="1"/>
      <c r="B14" s="3" t="s">
        <v>27</v>
      </c>
      <c r="C14" s="3" t="s">
        <v>113</v>
      </c>
      <c r="D14" s="3" t="s">
        <v>114</v>
      </c>
      <c r="E14" s="3" t="s">
        <v>115</v>
      </c>
      <c r="F14" s="3" t="s">
        <v>116</v>
      </c>
      <c r="G14" s="1"/>
      <c r="H14" s="1"/>
      <c r="I14" s="1"/>
      <c r="J14" s="1"/>
      <c r="K14" s="1"/>
    </row>
    <row r="15" spans="1:11">
      <c r="A15" s="1"/>
      <c r="B15" s="4" t="s">
        <v>117</v>
      </c>
      <c r="C15" s="10">
        <v>75703</v>
      </c>
      <c r="D15" s="10">
        <v>81580</v>
      </c>
      <c r="E15" s="7">
        <f>((D15-C15)/C15)</f>
        <v>7.7632326327886608E-2</v>
      </c>
      <c r="F15" s="7">
        <f>+D15/$D$20</f>
        <v>9.2887893489763312E-2</v>
      </c>
      <c r="G15" s="1"/>
      <c r="H15" s="1"/>
      <c r="I15" s="1"/>
      <c r="J15" s="1"/>
      <c r="K15" s="1"/>
    </row>
    <row r="16" spans="1:11">
      <c r="A16" s="1"/>
      <c r="B16" s="4" t="s">
        <v>33</v>
      </c>
      <c r="C16" s="10">
        <v>114438</v>
      </c>
      <c r="D16" s="10">
        <v>119443</v>
      </c>
      <c r="E16" s="7">
        <f>((D16-C16)/C16)</f>
        <v>4.3735472482916517E-2</v>
      </c>
      <c r="F16" s="7">
        <f>+D16/$D$20</f>
        <v>0.13599912554667565</v>
      </c>
      <c r="G16" s="1"/>
      <c r="H16" s="1"/>
      <c r="I16" s="1"/>
      <c r="J16" s="1"/>
      <c r="K16" s="1"/>
    </row>
    <row r="17" spans="1:11">
      <c r="A17" s="1"/>
      <c r="B17" s="4" t="s">
        <v>34</v>
      </c>
      <c r="C17" s="10">
        <v>45181</v>
      </c>
      <c r="D17" s="10">
        <v>48305</v>
      </c>
      <c r="E17" s="7">
        <f>((D17-C17)/C17)</f>
        <v>6.9144109249463265E-2</v>
      </c>
      <c r="F17" s="7">
        <f>+D17/$D$20</f>
        <v>5.5000609156938184E-2</v>
      </c>
      <c r="G17" s="1"/>
      <c r="H17" s="1"/>
      <c r="I17" s="1"/>
      <c r="J17" s="1"/>
      <c r="K17" s="1"/>
    </row>
    <row r="18" spans="1:11">
      <c r="A18" s="1"/>
      <c r="B18" s="83" t="s">
        <v>118</v>
      </c>
      <c r="C18" s="84">
        <v>171656</v>
      </c>
      <c r="D18" s="84">
        <v>184456</v>
      </c>
      <c r="E18" s="85">
        <f>((D18-C18)/C18)</f>
        <v>7.4567740131425642E-2</v>
      </c>
      <c r="F18" s="85">
        <f>+D18/$D$20</f>
        <v>0.21002364895253472</v>
      </c>
      <c r="G18" s="1"/>
      <c r="H18" s="1"/>
      <c r="I18" s="1"/>
      <c r="J18" s="1"/>
      <c r="K18" s="1"/>
    </row>
    <row r="19" spans="1:11">
      <c r="A19" s="1"/>
      <c r="B19" s="4" t="s">
        <v>119</v>
      </c>
      <c r="C19" s="10">
        <v>40427</v>
      </c>
      <c r="D19" s="10">
        <v>43036</v>
      </c>
      <c r="E19" s="7">
        <f>((D19-C19)/C19)</f>
        <v>6.4536077374032205E-2</v>
      </c>
      <c r="F19" s="7">
        <f>+D19/$D$20</f>
        <v>4.9001267274153645E-2</v>
      </c>
      <c r="G19" s="1"/>
      <c r="I19" s="1"/>
      <c r="J19" s="1"/>
      <c r="K19" s="1"/>
    </row>
    <row r="20" spans="1:11">
      <c r="A20" s="1"/>
      <c r="B20" s="1" t="s">
        <v>130</v>
      </c>
      <c r="C20" s="80">
        <v>817413</v>
      </c>
      <c r="D20" s="80">
        <v>878263</v>
      </c>
      <c r="E20" s="1"/>
      <c r="F20" s="81">
        <f>SUM(F15:F19)</f>
        <v>0.54291254442006553</v>
      </c>
      <c r="G20" s="1"/>
      <c r="H20" s="1"/>
      <c r="I20" s="1"/>
      <c r="J20" s="1"/>
      <c r="K20" s="1"/>
    </row>
    <row r="21" spans="1:11">
      <c r="A21" s="1"/>
      <c r="B21" s="1"/>
      <c r="C21" s="1"/>
      <c r="D21" s="1"/>
      <c r="E21" s="1"/>
      <c r="F21" s="1"/>
      <c r="G21" s="1"/>
      <c r="H21" s="1"/>
      <c r="I21" s="1"/>
      <c r="J21" s="1"/>
      <c r="K21" s="1"/>
    </row>
    <row r="22" spans="1:11">
      <c r="A22" s="1"/>
      <c r="B22" s="1"/>
      <c r="C22" s="1"/>
      <c r="D22" s="1"/>
      <c r="E22" s="1"/>
      <c r="F22" s="1"/>
      <c r="G22" s="1"/>
      <c r="H22" s="1"/>
      <c r="I22" s="1"/>
      <c r="J22" s="1"/>
      <c r="K22" s="1"/>
    </row>
    <row r="23" spans="1:11" ht="30.75" customHeight="1">
      <c r="A23" s="1"/>
      <c r="B23" s="29" t="s">
        <v>120</v>
      </c>
      <c r="C23" s="29"/>
      <c r="D23" s="29"/>
      <c r="E23" s="29"/>
      <c r="F23" s="29"/>
      <c r="G23" s="29"/>
      <c r="H23" s="29"/>
      <c r="I23" s="29"/>
      <c r="J23" s="29"/>
      <c r="K23" s="1"/>
    </row>
    <row r="24" spans="1:11">
      <c r="A24" s="1"/>
      <c r="B24" s="30" t="s">
        <v>121</v>
      </c>
      <c r="C24" s="30"/>
      <c r="D24" s="30"/>
      <c r="E24" s="30"/>
      <c r="F24" s="30"/>
      <c r="G24" s="30"/>
      <c r="H24" s="30"/>
      <c r="I24" s="30"/>
      <c r="J24" s="30"/>
      <c r="K24" s="1"/>
    </row>
    <row r="25" spans="1:11">
      <c r="A25" s="1"/>
      <c r="B25" s="30"/>
      <c r="C25" s="30"/>
      <c r="D25" s="30"/>
      <c r="E25" s="30"/>
      <c r="F25" s="30"/>
      <c r="G25" s="30"/>
      <c r="H25" s="30"/>
      <c r="I25" s="30"/>
      <c r="J25" s="30"/>
      <c r="K25" s="1"/>
    </row>
    <row r="26" spans="1:11">
      <c r="A26" s="1"/>
      <c r="B26" s="30"/>
      <c r="C26" s="30"/>
      <c r="D26" s="30"/>
      <c r="E26" s="30"/>
      <c r="F26" s="30"/>
      <c r="G26" s="30"/>
      <c r="H26" s="30"/>
      <c r="I26" s="30"/>
      <c r="J26" s="30"/>
      <c r="K26" s="1"/>
    </row>
    <row r="27" spans="1:11">
      <c r="A27" s="1"/>
      <c r="B27" s="1"/>
      <c r="C27" s="1"/>
      <c r="D27" s="1"/>
      <c r="E27" s="1"/>
      <c r="F27" s="1"/>
      <c r="G27" s="1"/>
      <c r="H27" s="1"/>
      <c r="I27" s="1"/>
      <c r="J27" s="1"/>
      <c r="K27" s="1"/>
    </row>
    <row r="28" spans="1:11">
      <c r="A28" s="1"/>
      <c r="B28" s="1"/>
      <c r="C28" s="1"/>
      <c r="D28" s="1"/>
      <c r="E28" s="1"/>
      <c r="F28" s="1"/>
      <c r="G28" s="1"/>
      <c r="H28" s="1"/>
      <c r="I28" s="1"/>
      <c r="J28" s="1"/>
      <c r="K28" s="1"/>
    </row>
    <row r="29" spans="1:11" ht="30.75" customHeight="1">
      <c r="A29" s="1"/>
      <c r="B29" s="34" t="s">
        <v>122</v>
      </c>
      <c r="C29" s="34"/>
      <c r="D29" s="34"/>
      <c r="E29" s="34"/>
      <c r="F29" s="34"/>
      <c r="G29" s="34"/>
      <c r="H29" s="34"/>
      <c r="I29" s="34"/>
      <c r="J29" s="34"/>
      <c r="K29" s="1"/>
    </row>
    <row r="30" spans="1:11">
      <c r="A30" s="1"/>
      <c r="B30" s="36" t="s">
        <v>123</v>
      </c>
      <c r="C30" s="36"/>
      <c r="D30" s="36"/>
      <c r="E30" s="36"/>
      <c r="F30" s="59" t="s">
        <v>181</v>
      </c>
      <c r="G30" s="59"/>
      <c r="H30" s="59"/>
      <c r="I30" s="59"/>
      <c r="J30" s="59"/>
      <c r="K30" s="1"/>
    </row>
    <row r="31" spans="1:11">
      <c r="A31" s="1"/>
      <c r="B31" s="1"/>
      <c r="C31" s="1"/>
      <c r="D31" s="1"/>
      <c r="E31" s="1"/>
      <c r="F31" s="1"/>
      <c r="G31" s="1"/>
      <c r="H31" s="1"/>
      <c r="I31" s="1"/>
      <c r="J31" s="1"/>
      <c r="K31" s="1"/>
    </row>
    <row r="32" spans="1:11">
      <c r="A32" s="1"/>
      <c r="B32" s="36" t="s">
        <v>124</v>
      </c>
      <c r="C32" s="36"/>
      <c r="D32" s="36"/>
      <c r="E32" s="36"/>
      <c r="F32" s="59" t="s">
        <v>180</v>
      </c>
      <c r="G32" s="59"/>
      <c r="H32" s="59"/>
      <c r="I32" s="59"/>
      <c r="J32" s="59"/>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c r="A36" s="1"/>
      <c r="B36" s="1"/>
      <c r="C36" s="1"/>
      <c r="D36" s="1"/>
      <c r="E36" s="1"/>
      <c r="F36" s="1"/>
      <c r="G36" s="1"/>
      <c r="H36" s="1"/>
      <c r="I36" s="1"/>
      <c r="J36" s="1"/>
      <c r="K36" s="1"/>
    </row>
    <row r="37" spans="1:11">
      <c r="A37" s="1"/>
      <c r="B37" s="1"/>
      <c r="C37" s="1"/>
      <c r="D37" s="1"/>
      <c r="E37" s="1"/>
      <c r="F37" s="1"/>
      <c r="G37" s="1"/>
      <c r="H37" s="1"/>
      <c r="I37" s="1"/>
      <c r="J37" s="1"/>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c r="A42" s="1"/>
      <c r="B42" s="1"/>
      <c r="C42" s="1"/>
      <c r="D42" s="1"/>
      <c r="E42" s="1"/>
      <c r="F42" s="1"/>
      <c r="G42" s="1"/>
      <c r="H42" s="1"/>
      <c r="I42" s="1"/>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row r="53" spans="1:11" ht="41.25" customHeight="1">
      <c r="A53" s="1"/>
      <c r="B53" s="31" t="s">
        <v>125</v>
      </c>
      <c r="C53" s="31"/>
      <c r="D53" s="31"/>
      <c r="E53" s="31"/>
      <c r="F53" s="31"/>
      <c r="G53" s="31"/>
      <c r="H53" s="31"/>
      <c r="I53" s="31"/>
      <c r="J53" s="31"/>
      <c r="K53" s="1"/>
    </row>
    <row r="54" spans="1:11" ht="32.1" customHeight="1">
      <c r="A54" s="1"/>
      <c r="B54" s="28" t="s">
        <v>182</v>
      </c>
      <c r="C54" s="28"/>
      <c r="D54" s="28"/>
      <c r="E54" s="28"/>
      <c r="F54" s="28"/>
      <c r="G54" s="28"/>
      <c r="H54" s="28"/>
      <c r="I54" s="28"/>
      <c r="J54" s="28"/>
      <c r="K54" s="1"/>
    </row>
    <row r="55" spans="1:11" ht="32.1" customHeight="1">
      <c r="A55" s="1"/>
      <c r="B55" s="28"/>
      <c r="C55" s="28"/>
      <c r="D55" s="28"/>
      <c r="E55" s="28"/>
      <c r="F55" s="28"/>
      <c r="G55" s="28"/>
      <c r="H55" s="28"/>
      <c r="I55" s="28"/>
      <c r="J55" s="28"/>
      <c r="K55" s="1"/>
    </row>
    <row r="56" spans="1:11" ht="32.1" customHeight="1">
      <c r="A56" s="1"/>
      <c r="B56" s="28"/>
      <c r="C56" s="28"/>
      <c r="D56" s="28"/>
      <c r="E56" s="28"/>
      <c r="F56" s="28"/>
      <c r="G56" s="28"/>
      <c r="H56" s="28"/>
      <c r="I56" s="28"/>
      <c r="J56" s="28"/>
      <c r="K56" s="1"/>
    </row>
    <row r="57" spans="1:11" ht="32.1" customHeight="1">
      <c r="A57" s="1"/>
      <c r="B57" s="28"/>
      <c r="C57" s="28"/>
      <c r="D57" s="28"/>
      <c r="E57" s="28"/>
      <c r="F57" s="28"/>
      <c r="G57" s="28"/>
      <c r="H57" s="28"/>
      <c r="I57" s="28"/>
      <c r="J57" s="28"/>
      <c r="K57" s="1"/>
    </row>
    <row r="58" spans="1:11">
      <c r="A58" s="1"/>
      <c r="B58" s="1"/>
      <c r="C58" s="1"/>
      <c r="D58" s="1"/>
      <c r="E58" s="1"/>
      <c r="F58" s="1"/>
      <c r="G58" s="1"/>
      <c r="H58" s="1"/>
      <c r="I58" s="1"/>
      <c r="J58" s="1"/>
      <c r="K58" s="1"/>
    </row>
    <row r="59" spans="1:11" ht="41.25" customHeight="1">
      <c r="A59" s="1"/>
      <c r="B59" s="31" t="s">
        <v>126</v>
      </c>
      <c r="C59" s="31"/>
      <c r="D59" s="31"/>
      <c r="E59" s="31"/>
      <c r="F59" s="31"/>
      <c r="G59" s="31"/>
      <c r="H59" s="31"/>
      <c r="I59" s="31"/>
      <c r="J59" s="31"/>
      <c r="K59" s="1"/>
    </row>
    <row r="60" spans="1:11" ht="32.1" customHeight="1">
      <c r="A60" s="1"/>
      <c r="B60" s="28" t="s">
        <v>183</v>
      </c>
      <c r="C60" s="28"/>
      <c r="D60" s="28"/>
      <c r="E60" s="28"/>
      <c r="F60" s="28"/>
      <c r="G60" s="28"/>
      <c r="H60" s="28"/>
      <c r="I60" s="28"/>
      <c r="J60" s="28"/>
      <c r="K60" s="1"/>
    </row>
    <row r="61" spans="1:11" ht="32.1" customHeight="1">
      <c r="A61" s="1"/>
      <c r="B61" s="28"/>
      <c r="C61" s="28"/>
      <c r="D61" s="28"/>
      <c r="E61" s="28"/>
      <c r="F61" s="28"/>
      <c r="G61" s="28"/>
      <c r="H61" s="28"/>
      <c r="I61" s="28"/>
      <c r="J61" s="28"/>
      <c r="K61" s="1"/>
    </row>
    <row r="62" spans="1:11" ht="32.1" customHeight="1">
      <c r="A62" s="1"/>
      <c r="B62" s="28"/>
      <c r="C62" s="28"/>
      <c r="D62" s="28"/>
      <c r="E62" s="28"/>
      <c r="F62" s="28"/>
      <c r="G62" s="28"/>
      <c r="H62" s="28"/>
      <c r="I62" s="28"/>
      <c r="J62" s="28"/>
      <c r="K62" s="1"/>
    </row>
    <row r="63" spans="1:11" ht="32.1" customHeight="1">
      <c r="A63" s="1"/>
      <c r="B63" s="28"/>
      <c r="C63" s="28"/>
      <c r="D63" s="28"/>
      <c r="E63" s="28"/>
      <c r="F63" s="28"/>
      <c r="G63" s="28"/>
      <c r="H63" s="28"/>
      <c r="I63" s="28"/>
      <c r="J63" s="28"/>
      <c r="K63" s="1"/>
    </row>
    <row r="64" spans="1:11">
      <c r="A64" s="1"/>
      <c r="B64" s="1"/>
      <c r="C64" s="1"/>
      <c r="D64" s="1"/>
      <c r="E64" s="1"/>
      <c r="F64" s="1"/>
      <c r="G64" s="1"/>
      <c r="H64" s="1"/>
      <c r="I64" s="1"/>
      <c r="J64" s="1"/>
      <c r="K64" s="1"/>
    </row>
    <row r="65" spans="1:11" ht="41.25" customHeight="1">
      <c r="A65" s="1"/>
      <c r="B65" s="31" t="s">
        <v>127</v>
      </c>
      <c r="C65" s="31"/>
      <c r="D65" s="31"/>
      <c r="E65" s="31"/>
      <c r="F65" s="31"/>
      <c r="G65" s="31"/>
      <c r="H65" s="31"/>
      <c r="I65" s="31"/>
      <c r="J65" s="31"/>
      <c r="K65" s="1"/>
    </row>
    <row r="66" spans="1:11" ht="32.1" customHeight="1">
      <c r="A66" s="1"/>
      <c r="B66" s="28" t="s">
        <v>184</v>
      </c>
      <c r="C66" s="28"/>
      <c r="D66" s="28"/>
      <c r="E66" s="28"/>
      <c r="F66" s="28"/>
      <c r="G66" s="28"/>
      <c r="H66" s="28"/>
      <c r="I66" s="28"/>
      <c r="J66" s="28"/>
      <c r="K66" s="1"/>
    </row>
    <row r="67" spans="1:11" ht="32.1" customHeight="1">
      <c r="A67" s="1"/>
      <c r="B67" s="28"/>
      <c r="C67" s="28"/>
      <c r="D67" s="28"/>
      <c r="E67" s="28"/>
      <c r="F67" s="28"/>
      <c r="G67" s="28"/>
      <c r="H67" s="28"/>
      <c r="I67" s="28"/>
      <c r="J67" s="28"/>
      <c r="K67" s="1"/>
    </row>
    <row r="68" spans="1:11" ht="32.1" customHeight="1">
      <c r="A68" s="1"/>
      <c r="B68" s="28"/>
      <c r="C68" s="28"/>
      <c r="D68" s="28"/>
      <c r="E68" s="28"/>
      <c r="F68" s="28"/>
      <c r="G68" s="28"/>
      <c r="H68" s="28"/>
      <c r="I68" s="28"/>
      <c r="J68" s="28"/>
      <c r="K68" s="1"/>
    </row>
    <row r="69" spans="1:11" ht="32.1" customHeight="1">
      <c r="A69" s="1"/>
      <c r="B69" s="28"/>
      <c r="C69" s="28"/>
      <c r="D69" s="28"/>
      <c r="E69" s="28"/>
      <c r="F69" s="28"/>
      <c r="G69" s="28"/>
      <c r="H69" s="28"/>
      <c r="I69" s="28"/>
      <c r="J69" s="28"/>
      <c r="K69" s="1"/>
    </row>
  </sheetData>
  <mergeCells count="20">
    <mergeCell ref="B2:J2"/>
    <mergeCell ref="B3:J3"/>
    <mergeCell ref="B4:J4"/>
    <mergeCell ref="B7:J7"/>
    <mergeCell ref="G10:J10"/>
    <mergeCell ref="C8:E8"/>
    <mergeCell ref="B13:J13"/>
    <mergeCell ref="B23:J23"/>
    <mergeCell ref="B24:J26"/>
    <mergeCell ref="B29:J29"/>
    <mergeCell ref="B30:E30"/>
    <mergeCell ref="F30:J30"/>
    <mergeCell ref="B60:J63"/>
    <mergeCell ref="B65:J65"/>
    <mergeCell ref="B66:J69"/>
    <mergeCell ref="B32:E32"/>
    <mergeCell ref="F32:J32"/>
    <mergeCell ref="B53:J53"/>
    <mergeCell ref="B54:J57"/>
    <mergeCell ref="B59:J59"/>
  </mergeCells>
  <hyperlinks>
    <hyperlink ref="G10" r:id="rId1" xr:uid="{C5C0E9F4-884F-422D-8F75-C0F062A53F0B}"/>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Portada</vt:lpstr>
      <vt:lpstr>E1 Producción</vt:lpstr>
      <vt:lpstr>E2 Gasto</vt:lpstr>
      <vt:lpstr>E3 Ingreso</vt:lpstr>
      <vt:lpstr>E4 Tres enfoques</vt:lpstr>
      <vt:lpstr>E5 Guatemala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Alvarado</dc:creator>
  <cp:keywords/>
  <dc:description/>
  <cp:lastModifiedBy>Carlos Alvarado</cp:lastModifiedBy>
  <cp:revision/>
  <dcterms:created xsi:type="dcterms:W3CDTF">2026-08-29T13:11:11Z</dcterms:created>
  <dcterms:modified xsi:type="dcterms:W3CDTF">2026-08-29T18:02:35Z</dcterms:modified>
  <cp:category/>
  <cp:contentStatus/>
</cp:coreProperties>
</file>