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20150\Desktop\"/>
    </mc:Choice>
  </mc:AlternateContent>
  <xr:revisionPtr revIDLastSave="0" documentId="8_{0674C245-ADD1-442F-B9B1-A209B046DE4E}" xr6:coauthVersionLast="47" xr6:coauthVersionMax="47" xr10:uidLastSave="{00000000-0000-0000-0000-000000000000}"/>
  <bookViews>
    <workbookView xWindow="-120" yWindow="-120" windowWidth="20730" windowHeight="11040" activeTab="1"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 l="1"/>
  <c r="F29" i="6"/>
  <c r="F16" i="6"/>
  <c r="F17" i="6"/>
  <c r="F18" i="6"/>
  <c r="F19" i="6"/>
  <c r="F15" i="6"/>
  <c r="E16" i="6"/>
  <c r="E17" i="6"/>
  <c r="E18" i="6"/>
  <c r="E19" i="6"/>
  <c r="E15" i="6"/>
  <c r="E24" i="5"/>
  <c r="B24" i="5"/>
  <c r="F16" i="5"/>
  <c r="C19" i="5"/>
  <c r="D10" i="4"/>
  <c r="D11" i="4"/>
  <c r="D9" i="4"/>
  <c r="E19" i="4"/>
  <c r="E17" i="4"/>
  <c r="E24" i="3"/>
  <c r="E22" i="3"/>
  <c r="E20" i="3"/>
  <c r="E18" i="3"/>
  <c r="E25" i="2"/>
  <c r="E23" i="2"/>
  <c r="F12" i="2"/>
  <c r="F11" i="2"/>
  <c r="F10" i="2"/>
  <c r="F9" i="2"/>
  <c r="E21" i="2"/>
  <c r="E10" i="2"/>
  <c r="E11" i="2"/>
  <c r="E12" i="2"/>
  <c r="E9" i="2"/>
</calcChain>
</file>

<file path=xl/sharedStrings.xml><?xml version="1.0" encoding="utf-8"?>
<sst xmlns="http://schemas.openxmlformats.org/spreadsheetml/2006/main" count="158" uniqueCount="143">
  <si>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</si>
  <si>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</si>
  <si>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</si>
  <si>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</si>
  <si>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</si>
  <si>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</si>
  <si>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</si>
  <si>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</si>
  <si>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</si>
  <si>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</si>
  <si>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</si>
  <si>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</si>
  <si>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</si>
  <si>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</si>
  <si>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</si>
  <si>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</si>
  <si>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</si>
  <si>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</si>
  <si>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</si>
  <si>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</si>
  <si>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</si>
  <si>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</si>
  <si>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</si>
  <si>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</si>
  <si>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</si>
  <si>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</si>
  <si>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</si>
  <si>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</si>
  <si>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</si>
  <si>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</si>
  <si>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</si>
  <si>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</si>
  <si>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</si>
  <si>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</si>
  <si>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</si>
  <si>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</si>
  <si>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</si>
  <si>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</si>
  <si>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</si>
  <si>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</si>
  <si>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</si>
  <si>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</si>
  <si>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</si>
  <si>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</si>
  <si>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</si>
  <si>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</si>
  <si>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</si>
  <si>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</si>
  <si>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</si>
  <si>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</si>
  <si>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</si>
  <si>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</si>
  <si>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</si>
  <si>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</si>
  <si>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</si>
  <si>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</si>
  <si>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</si>
  <si>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</si>
  <si>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</si>
  <si>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</si>
  <si>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</si>
  <si>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</si>
  <si>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Desarrolle aquí:
• I = FBCF + ΔE
• X − M
• PIB = C + I + G + (X − M)
• nuevo PIB cuando el consumo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</si>
  <si>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</si>
  <si>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</si>
  <si>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</si>
  <si>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</si>
  <si>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</si>
  <si>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</si>
  <si>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</si>
  <si>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</si>
  <si>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</si>
  <si>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</si>
  <si>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</si>
  <si>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</si>
  <si>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</si>
  <si>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</si>
  <si>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</si>
  <si>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</si>
  <si>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</si>
  <si>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</si>
  <si>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</si>
  <si>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</si>
  <si>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</si>
  <si>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</si>
  <si>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</si>
  <si>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</si>
  <si>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</si>
  <si>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</si>
  <si>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</si>
  <si>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</si>
  <si>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</si>
  <si>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</si>
  <si>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</si>
  <si>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</si>
  <si>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</si>
  <si>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</si>
  <si>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</si>
  <si>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</si>
  <si>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</si>
  <si>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</si>
  <si>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</si>
  <si>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</si>
  <si>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</si>
  <si>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</si>
  <si>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</si>
  <si>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</si>
  <si>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</si>
  <si>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</si>
  <si>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</si>
  <si>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</si>
  <si>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</si>
  <si>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</si>
  <si>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</si>
  <si>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</si>
  <si>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</si>
  <si>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</si>
  <si>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</si>
  <si>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Actividad seleccionada por el estudiante</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</si>
  <si>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</si>
  <si>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</si>
  <si>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</si>
  <si>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</si>
  <si>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</si>
  <si>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</si>
  <si>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</si>
  <si>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</si>
  <si>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</si>
  <si>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VABᵢ = VBPᵢ − Consumo intermedioᵢ
Agricultura: 1,650 − 620 = 1,030      Industrias manufactureras: 2,900 − 1,750 = 1,150
Construcción: 1,250 − 720 = 530      Comercio y otros servicios: 2,400 − 1,050 = 1,350
VAB total = 1,030 + 1,150 + 530 + 1,350 = Q 4,060 millones
Impuestos netos sobre los productos = 420 − 40 = Q 380 millones
PIB = Σ VABᵢ + impuestos netos = 4,060 + 380 = Q 4,440 millones
Participaciónᵢ = VABᵢ / VAB total (columna F).</t>
  </si>
  <si>
    <t>Seria incorrecoto porque el valor bruto de produccion, contaria dos veces los insumos que una actividad le vende a otras porque el consumo interno ya esta incluido en el valor de producto de quien compra entonces el total sobreestimaria la economía, El VAB elimina la duplicidad y mide unicamente el valor nuevo de cada actividad incorpora al proceso productivo. con relación a la pregunta de la actividad que genera mayor proporcion del valor agredado estar seria la de comercio y servicios con 33.25% del VAB total.</t>
  </si>
  <si>
    <t>(a) Se resta M porque C, I, G y X ya incluyen gasto en bienes importados; la resta es un ajuste contable para que el PIB refleje solo producción nacional, no un juicio negativo sobre importar.
(b) La ΔE negativa (−Q120 M) significa que se vendió más de lo producido usando inventarios de años previos; como ΔE es parte de la inversión, esta baja de Q1,700 (FBKF) a Q1,580.</t>
  </si>
  <si>
    <t>Impuestos netos de subvenciones = 620 − 110 = Q 510 millones
PIB = RA + EBE + IMB + impuestos netos = 4,250 + 2,100 + 960 + 510 = Q 7,820 millones
Participaciónᵢ = componenteᵢ / PIB:
Remuneración de asalariados = 4,250 / 7,820 = 54.35 %
Excedente bruto de explotación = 2,100 / 7,820 = 26.85 %
Ingreso mixto bruto = 960 / 7,820 = 12.28 %
(Impuestos netos = 510 / 7,820 = 6.52 %)</t>
  </si>
  <si>
    <t>El ingreso mixto bruto retribuye a los hogares que producen por cuenta propia, donde no se puede separar el trabajo del propietario del rendimiento de su capital: agricultores, tiendas familiares, talleres, transportistas. Pesa mucho en Guatemala por el autoempleo. Omitirlo subestimaría el PIB y mostraría una economía más asalariada y formal de lo real; por eso indica indirectamente la informalidad.</t>
  </si>
  <si>
    <t>Identidad del gasto:  PIB = C + I + G + (X − M)  ⟹  M = C + I + G + X − PIB
M = 5,200 + 1,800 + 1,500 + 1,100 − 9,000 = Q 600 millones
Identidad del ingreso:  PIB = RA + EBE + IM + impuestos netos  ⟹  EBE = PIB − RA − IM − impuestos netos
EBE = 9,000 − 4,300 − 1,100 − 500 = Q 3,100 millones
Verificación de los tres enfoques:
Producción = Q 9,000 millones (dato del enunciado)
Gasto = 5,200 + 1,800 + 1,500 + 1,100 − 600 = Q 9,000 millones
Ingreso = 4,300 + 3,100 + 1,100 + 500 = Q 9,000 millones
Los tres enfoques conducen al mismo PIB.</t>
  </si>
  <si>
    <t>La igualdad entre los tres enfoques del PIB es conceptual: producción, gasto e ingreso miran el mismo flujo desde ángulos distintos, qué se produce, en qué se gasta y cómo se reparte el ingreso. Su coincidencia se deriva del marco contable, no de usar los mismos datos. Cada uno se nutre de fuentes propias: encuestas industriales y censos; encuestas de hogares, aduanas y presupuesto público; registros tributarios y seguridad social. Tres sistemas independientes que convergen tras conciliación.</t>
  </si>
  <si>
    <t>No. La identidad entre los tres enfoques es válida por construcción, de modo que las discrepancias no refutan el marco conceptual sino que reflejan la calidad de la medición: errores de muestreo, cobertura incompleta de la informalidad y el autoconsumo, criterios de valoración, momento de registro y rezagos en la información. Por eso las cuentas nacionales incluyen una partida de discrepancia estadística y equilibran el sistema con los cuadros de oferta y utilización, producto por producto.</t>
  </si>
  <si>
    <t xml:space="preserve">Cuadro 2.2 Producto Interno Bruto medido por el enfoque de la producción. En millones de quetzales» (precios corrientes). Cuentas Nacionales, año de referencia 2013. Banco de Guatemala, Depto. de Estadísticas Macroeconómicas. </t>
  </si>
  <si>
    <t>29 de agosto de 2026</t>
  </si>
  <si>
    <t>No. Peso y dinamismo son propiedades distintas: el peso es el tamaño relativo del valor agregado dentro del PIB y mide cuánto depende de esa actividad la economía; el dinamismo es su ritmo de crecimiento anual. El aporte al crecimiento resulta de combinar ambos. Comercio, con 21.28 % del PIB y un alza de 10.36 %, aportó 2.15 puntos de los 7.53 % nominales; las financieras, las más dinámicas con 12.56 %, solo 0.53 puntos por pesar 4.45 %. Una actividad grande que crece moderadamente mueve más el agregado.</t>
  </si>
  <si>
    <t>Comercio y manufactura son las dos actividades de mayor peso (21.28 % y 13.54 % del PIB en 2024), pero se mueven en direcciones opuestas. El comercio creció 10.36 %, por encima del PIB nominal de 7.53 %, y subió su participación desde 20.73 %; la manufactura creció 3.90 %, muy por debajo, y bajó desde 14.01 %. La estructura productiva sigue desplazándose hacia comercio y servicios. Al ser valores corrientes, parte de la brecha puede deberse a precios y no solo a volúmenes producidos.</t>
  </si>
  <si>
    <t>No hay contradicción: el PIB es la suma del valor agregado de todas las actividades más impuestos netos, así que una caída puede quedar compensada por el resto según su peso. Minas y canteras cayó 4.40 % y el PIB nominal creció 7.53 %, porque pesa menos del 0.5 %. Precaución: los valores corrientes mezclan cantidades y precios; en 2024 el volumen creció 3.72 % frente al 7.53 % nominal. Sirven para calcular participaciones de un mismo año, no para medir crecimiento real.</t>
  </si>
  <si>
    <t>Naidely Karina Maeda Orozco</t>
  </si>
  <si>
    <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</si>
</sst>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1">
    <xf numFmtId="0" fontId="0" fillId="0" borderId="0"/>
  </cellStyleXfs>
  <cellXfs count="40">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7" fillId="2" borderId="0" xfId="0" applyFont="1" applyFill="1" applyAlignment="1">
      <alignment vertical="top"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4" fillId="8" borderId="0" xfId="0" applyFont="1" applyFill="1" applyAlignment="1">
      <alignment horizontal="center" vertical="center"/>
    </xf>
    <xf numFmtId="0" fontId="9" fillId="5" borderId="0" xfId="0" applyFont="1" applyFill="1" applyAlignment="1">
      <alignment horizontal="center" vertical="center" wrapText="1"/>
    </xf>
    <xf numFmtId="0" fontId="4" fillId="6" borderId="0" xfId="0" applyFont="1" applyFill="1" applyAlignment="1">
      <alignment vertical="center"/>
    </xf>
    <xf numFmtId="0" fontId="6" fillId="8" borderId="0" xfId="0" applyFont="1" applyFill="1" applyAlignment="1">
      <alignment vertical="top" wrapText="1"/>
    </xf>
    <xf numFmtId="0" fontId="10" fillId="9"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6" fillId="9" borderId="0" xfId="0" applyFont="1" applyFill="1" applyAlignment="1">
      <alignment horizontal="center" vertical="center"/>
    </xf>
    <xf numFmtId="0" fontId="17" fillId="8" borderId="0" xfId="0" applyFont="1" applyFill="1" applyAlignment="1">
      <alignment horizontal="center" vertical="center"/>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3" fontId="14" fillId="8" borderId="0" xfId="0" applyNumberFormat="1" applyFont="1" applyFill="1" applyAlignment="1">
      <alignment horizontal="center" vertical="center"/>
    </xf>
    <xf numFmtId="0" fontId="0" fillId="2" borderId="0" xfId="0" applyFill="1" applyAlignment="1"/>
    <xf numFmtId="38" fontId="14" fillId="8" borderId="0" xfId="0" applyNumberFormat="1" applyFont="1" applyFill="1" applyAlignment="1">
      <alignment horizontal="center" vertical="center"/>
    </xf>
    <xf numFmtId="14" fontId="6" fillId="8"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c:v>
                </c:pt>
              </c:strCache>
            </c:strRef>
          </c:cat>
          <c:val>
            <c:numRef>
              <c:f>'E5 Guatemala'!$F$15:$F$19</c:f>
              <c:numCache>
                <c:formatCode>0.00%</c:formatCode>
                <c:ptCount val="5"/>
                <c:pt idx="0">
                  <c:v>9.6580620350428512E-2</c:v>
                </c:pt>
                <c:pt idx="1">
                  <c:v>0.13539242480026467</c:v>
                </c:pt>
                <c:pt idx="2">
                  <c:v>5.4395361317796674E-2</c:v>
                </c:pt>
                <c:pt idx="3">
                  <c:v>0.21279323906513228</c:v>
                </c:pt>
                <c:pt idx="4">
                  <c:v>4.4493124559846824E-2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zoomScale="125" workbookViewId="0">
      <selection activeCell="F17" sqref="F17"/>
    </sheetView>
  </sheetViews>
  <sheetFormatPr baseColWidth="10" defaultColWidth="8.875" defaultRowHeight="14.25"/>
  <cols>
    <col min="1" max="1" width="3" customWidth="1"/>
    <col min="2" max="10" width="17" customWidth="1"/>
    <col min="11" max="11" width="3" customWidth="1"/>
  </cols>
  <sheetData>
    <row r="1" spans="1:11">
      <c r="A1" s="1"/>
      <c r="B1" s="1"/>
      <c r="C1" s="1"/>
      <c r="D1" s="1"/>
      <c r="E1" s="1"/>
      <c r="F1" s="1"/>
      <c r="G1" s="1"/>
      <c r="H1" s="1"/>
      <c r="I1" s="1"/>
      <c r="J1" s="1"/>
      <c r="K1" s="1"/>
    </row>
    <row r="2" spans="1:11">
      <c r="A2" s="1"/>
      <c r="B2" s="31" t="s">
        <v>0</v>
      </c>
      <c r="C2" s="31"/>
      <c r="D2" s="31"/>
      <c r="E2" s="31"/>
      <c r="F2" s="31"/>
      <c r="G2" s="31"/>
      <c r="H2" s="31"/>
      <c r="I2" s="31"/>
      <c r="J2" s="31"/>
      <c r="K2" s="1"/>
    </row>
    <row r="3" spans="1:11">
      <c r="A3" s="1"/>
      <c r="B3" s="31"/>
      <c r="C3" s="31"/>
      <c r="D3" s="31"/>
      <c r="E3" s="31"/>
      <c r="F3" s="31"/>
      <c r="G3" s="31"/>
      <c r="H3" s="31"/>
      <c r="I3" s="31"/>
      <c r="J3" s="31"/>
      <c r="K3" s="1"/>
    </row>
    <row r="4" spans="1:11" ht="18">
      <c r="A4" s="1"/>
      <c r="B4" s="32" t="s">
        <v>1</v>
      </c>
      <c r="C4" s="32"/>
      <c r="D4" s="32"/>
      <c r="E4" s="32"/>
      <c r="F4" s="32"/>
      <c r="G4" s="32"/>
      <c r="H4" s="32"/>
      <c r="I4" s="32"/>
      <c r="J4" s="32"/>
      <c r="K4" s="1"/>
    </row>
    <row r="5" spans="1:11" ht="6.75" customHeight="1">
      <c r="A5" s="1"/>
      <c r="B5" s="23"/>
      <c r="C5" s="23"/>
      <c r="D5" s="23"/>
      <c r="E5" s="23"/>
      <c r="F5" s="23"/>
      <c r="G5" s="23"/>
      <c r="H5" s="23"/>
      <c r="I5" s="23"/>
      <c r="J5" s="23"/>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3" t="s">
        <v>2</v>
      </c>
      <c r="C8" s="33"/>
      <c r="D8" s="33"/>
      <c r="E8" s="33"/>
      <c r="F8" s="33"/>
      <c r="G8" s="33"/>
      <c r="H8" s="33"/>
      <c r="I8" s="33"/>
      <c r="J8" s="33"/>
      <c r="K8" s="1"/>
    </row>
    <row r="9" spans="1:11">
      <c r="A9" s="1"/>
      <c r="B9" s="33"/>
      <c r="C9" s="33"/>
      <c r="D9" s="33"/>
      <c r="E9" s="33"/>
      <c r="F9" s="33"/>
      <c r="G9" s="33"/>
      <c r="H9" s="33"/>
      <c r="I9" s="33"/>
      <c r="J9" s="33"/>
      <c r="K9" s="1"/>
    </row>
    <row r="10" spans="1:11">
      <c r="A10" s="1"/>
      <c r="B10" s="33"/>
      <c r="C10" s="33"/>
      <c r="D10" s="33"/>
      <c r="E10" s="33"/>
      <c r="F10" s="33"/>
      <c r="G10" s="33"/>
      <c r="H10" s="33"/>
      <c r="I10" s="33"/>
      <c r="J10" s="3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3</v>
      </c>
      <c r="C13" s="18"/>
      <c r="D13" s="18"/>
      <c r="E13" s="18"/>
      <c r="F13" s="18"/>
      <c r="G13" s="18"/>
      <c r="H13" s="18"/>
      <c r="I13" s="18"/>
      <c r="J13" s="18"/>
      <c r="K13" s="1"/>
    </row>
    <row r="14" spans="1:11" ht="25.5" customHeight="1">
      <c r="A14" s="1"/>
      <c r="B14" s="2" t="s">
        <v>4</v>
      </c>
      <c r="C14" s="35" t="s">
        <v>141</v>
      </c>
      <c r="D14" s="35"/>
      <c r="E14" s="35"/>
      <c r="F14" s="2" t="s">
        <v>5</v>
      </c>
      <c r="G14" s="3">
        <v>2015046</v>
      </c>
      <c r="H14" s="3"/>
      <c r="I14" s="3"/>
      <c r="J14" s="3"/>
      <c r="K14" s="1"/>
    </row>
    <row r="15" spans="1:11">
      <c r="A15" s="1"/>
      <c r="B15" s="1"/>
      <c r="C15" s="1"/>
      <c r="D15" s="1"/>
      <c r="E15" s="1"/>
      <c r="F15" s="1"/>
      <c r="G15" s="1"/>
      <c r="H15" s="1"/>
      <c r="I15" s="1"/>
      <c r="J15" s="1"/>
      <c r="K15" s="1"/>
    </row>
    <row r="16" spans="1:11">
      <c r="A16" s="1"/>
      <c r="B16" s="2" t="s">
        <v>6</v>
      </c>
      <c r="C16" s="39">
        <v>46263</v>
      </c>
      <c r="D16" s="3"/>
      <c r="E16" s="3"/>
      <c r="F16" s="2" t="s">
        <v>7</v>
      </c>
      <c r="G16" s="3" t="s">
        <v>142</v>
      </c>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8" t="s">
        <v>8</v>
      </c>
      <c r="C19" s="18"/>
      <c r="D19" s="18"/>
      <c r="E19" s="18"/>
      <c r="F19" s="18"/>
      <c r="G19" s="18"/>
      <c r="H19" s="18"/>
      <c r="I19" s="18"/>
      <c r="J19" s="18"/>
      <c r="K19" s="1"/>
    </row>
    <row r="20" spans="1:11" ht="32.1" customHeight="1">
      <c r="A20" s="1"/>
      <c r="B20" s="30" t="s">
        <v>9</v>
      </c>
      <c r="C20" s="30"/>
      <c r="D20" s="30"/>
      <c r="E20" s="30"/>
      <c r="F20" s="30"/>
      <c r="G20" s="30"/>
      <c r="H20" s="30"/>
      <c r="I20" s="30"/>
      <c r="J20" s="30"/>
      <c r="K20" s="1"/>
    </row>
    <row r="21" spans="1:11" ht="32.1" customHeight="1">
      <c r="A21" s="1"/>
      <c r="B21" s="30" t="s">
        <v>10</v>
      </c>
      <c r="C21" s="30"/>
      <c r="D21" s="30"/>
      <c r="E21" s="30"/>
      <c r="F21" s="30"/>
      <c r="G21" s="30"/>
      <c r="H21" s="30"/>
      <c r="I21" s="30"/>
      <c r="J21" s="30"/>
      <c r="K21" s="1"/>
    </row>
    <row r="22" spans="1:11" ht="32.1" customHeight="1">
      <c r="A22" s="1"/>
      <c r="B22" s="30" t="s">
        <v>11</v>
      </c>
      <c r="C22" s="30"/>
      <c r="D22" s="30"/>
      <c r="E22" s="30"/>
      <c r="F22" s="30"/>
      <c r="G22" s="30"/>
      <c r="H22" s="30"/>
      <c r="I22" s="30"/>
      <c r="J22" s="30"/>
      <c r="K22" s="1"/>
    </row>
    <row r="23" spans="1:11" ht="32.1" customHeight="1">
      <c r="A23" s="1"/>
      <c r="B23" s="30" t="s">
        <v>12</v>
      </c>
      <c r="C23" s="30"/>
      <c r="D23" s="30"/>
      <c r="E23" s="30"/>
      <c r="F23" s="30"/>
      <c r="G23" s="30"/>
      <c r="H23" s="30"/>
      <c r="I23" s="30"/>
      <c r="J23" s="30"/>
      <c r="K23" s="1"/>
    </row>
    <row r="24" spans="1:11" ht="32.1" customHeight="1">
      <c r="A24" s="1"/>
      <c r="B24" s="30" t="s">
        <v>127</v>
      </c>
      <c r="C24" s="30"/>
      <c r="D24" s="30"/>
      <c r="E24" s="30"/>
      <c r="F24" s="30"/>
      <c r="G24" s="30"/>
      <c r="H24" s="30"/>
      <c r="I24" s="30"/>
      <c r="J24" s="30"/>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8" t="s">
        <v>13</v>
      </c>
      <c r="C27" s="18"/>
      <c r="D27" s="18"/>
      <c r="E27" s="18"/>
      <c r="F27" s="18"/>
      <c r="G27" s="18"/>
      <c r="H27" s="18"/>
      <c r="I27" s="18"/>
      <c r="J27" s="18"/>
      <c r="K27" s="1"/>
    </row>
    <row r="28" spans="1:11">
      <c r="A28" s="1"/>
      <c r="B28" s="1"/>
      <c r="C28" s="1"/>
      <c r="D28" s="1"/>
      <c r="E28" s="1"/>
      <c r="F28" s="1"/>
      <c r="G28" s="1"/>
      <c r="H28" s="1"/>
      <c r="I28" s="1"/>
      <c r="J28" s="1"/>
      <c r="K28" s="1"/>
    </row>
    <row r="29" spans="1:11">
      <c r="A29" s="1"/>
      <c r="B29" s="26" t="s">
        <v>14</v>
      </c>
      <c r="C29" s="26"/>
      <c r="D29" s="26"/>
      <c r="E29" s="26" t="s">
        <v>15</v>
      </c>
      <c r="F29" s="26"/>
      <c r="G29" s="26"/>
      <c r="H29" s="26" t="s">
        <v>16</v>
      </c>
      <c r="I29" s="26"/>
      <c r="J29" s="26"/>
      <c r="K29" s="1"/>
    </row>
    <row r="30" spans="1:11">
      <c r="A30" s="1"/>
      <c r="B30" s="26"/>
      <c r="C30" s="26"/>
      <c r="D30" s="26"/>
      <c r="E30" s="26"/>
      <c r="F30" s="26"/>
      <c r="G30" s="26"/>
      <c r="H30" s="26"/>
      <c r="I30" s="26"/>
      <c r="J30" s="26"/>
      <c r="K30" s="1"/>
    </row>
    <row r="31" spans="1:11">
      <c r="A31" s="1"/>
      <c r="B31" s="26"/>
      <c r="C31" s="26"/>
      <c r="D31" s="26"/>
      <c r="E31" s="26"/>
      <c r="F31" s="26"/>
      <c r="G31" s="26"/>
      <c r="H31" s="26"/>
      <c r="I31" s="26"/>
      <c r="J31" s="26"/>
      <c r="K31" s="1"/>
    </row>
    <row r="32" spans="1:11">
      <c r="A32" s="1"/>
      <c r="B32" s="26"/>
      <c r="C32" s="26"/>
      <c r="D32" s="26"/>
      <c r="E32" s="26"/>
      <c r="F32" s="26"/>
      <c r="G32" s="26"/>
      <c r="H32" s="26"/>
      <c r="I32" s="26"/>
      <c r="J32" s="26"/>
      <c r="K32" s="1"/>
    </row>
    <row r="33" spans="1:11">
      <c r="A33" s="1"/>
      <c r="B33" s="1"/>
      <c r="C33" s="1"/>
      <c r="D33" s="1"/>
      <c r="E33" s="1"/>
      <c r="F33" s="1"/>
      <c r="G33" s="1"/>
      <c r="H33" s="1"/>
      <c r="I33" s="1"/>
      <c r="J33" s="1"/>
      <c r="K33" s="1"/>
    </row>
    <row r="34" spans="1:11">
      <c r="A34" s="1"/>
      <c r="B34" s="26" t="s">
        <v>17</v>
      </c>
      <c r="C34" s="26"/>
      <c r="D34" s="26"/>
      <c r="E34" s="26"/>
      <c r="F34" s="27" t="s">
        <v>18</v>
      </c>
      <c r="G34" s="27"/>
      <c r="H34" s="27"/>
      <c r="I34" s="27"/>
      <c r="J34" s="27"/>
      <c r="K34" s="1"/>
    </row>
    <row r="35" spans="1:11">
      <c r="A35" s="1"/>
      <c r="B35" s="26"/>
      <c r="C35" s="26"/>
      <c r="D35" s="26"/>
      <c r="E35" s="26"/>
      <c r="F35" s="27"/>
      <c r="G35" s="27"/>
      <c r="H35" s="27"/>
      <c r="I35" s="27"/>
      <c r="J35" s="27"/>
      <c r="K35" s="1"/>
    </row>
    <row r="36" spans="1:11">
      <c r="A36" s="1"/>
      <c r="B36" s="26"/>
      <c r="C36" s="26"/>
      <c r="D36" s="26"/>
      <c r="E36" s="26"/>
      <c r="F36" s="27"/>
      <c r="G36" s="27"/>
      <c r="H36" s="27"/>
      <c r="I36" s="27"/>
      <c r="J36" s="27"/>
      <c r="K36" s="1"/>
    </row>
    <row r="37" spans="1:11">
      <c r="A37" s="1"/>
      <c r="B37" s="26"/>
      <c r="C37" s="26"/>
      <c r="D37" s="26"/>
      <c r="E37" s="26"/>
      <c r="F37" s="27"/>
      <c r="G37" s="27"/>
      <c r="H37" s="27"/>
      <c r="I37" s="27"/>
      <c r="J37" s="27"/>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8" t="s">
        <v>19</v>
      </c>
      <c r="C40" s="18"/>
      <c r="D40" s="18"/>
      <c r="E40" s="18"/>
      <c r="F40" s="18"/>
      <c r="G40" s="18"/>
      <c r="H40" s="18"/>
      <c r="I40" s="18"/>
      <c r="J40" s="18"/>
      <c r="K40" s="1"/>
    </row>
    <row r="41" spans="1:11">
      <c r="A41" s="1"/>
      <c r="B41" s="28" t="s">
        <v>20</v>
      </c>
      <c r="C41" s="28"/>
      <c r="D41" s="28"/>
      <c r="E41" s="17" t="s">
        <v>21</v>
      </c>
      <c r="F41" s="17"/>
      <c r="G41" s="17"/>
      <c r="H41" s="29" t="s">
        <v>22</v>
      </c>
      <c r="I41" s="29"/>
      <c r="J41" s="29"/>
      <c r="K41" s="1"/>
    </row>
    <row r="42" spans="1:11">
      <c r="A42" s="1"/>
      <c r="B42" s="28"/>
      <c r="C42" s="28"/>
      <c r="D42" s="28"/>
      <c r="E42" s="17"/>
      <c r="F42" s="17"/>
      <c r="G42" s="17"/>
      <c r="H42" s="29"/>
      <c r="I42" s="29"/>
      <c r="J42" s="29"/>
      <c r="K42" s="1"/>
    </row>
    <row r="43" spans="1:11">
      <c r="A43" s="1"/>
      <c r="B43" s="28"/>
      <c r="C43" s="28"/>
      <c r="D43" s="28"/>
      <c r="E43" s="17"/>
      <c r="F43" s="17"/>
      <c r="G43" s="17"/>
      <c r="H43" s="29"/>
      <c r="I43" s="29"/>
      <c r="J43" s="29"/>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2">
    <mergeCell ref="C14:E14"/>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abSelected="1" workbookViewId="0">
      <selection activeCell="I8" sqref="I8"/>
    </sheetView>
  </sheetViews>
  <sheetFormatPr baseColWidth="10" defaultColWidth="8.875" defaultRowHeight="14.25"/>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2" customHeight="1">
      <c r="A2" s="1"/>
      <c r="B2" s="21" t="s">
        <v>23</v>
      </c>
      <c r="C2" s="21"/>
      <c r="D2" s="21"/>
      <c r="E2" s="21"/>
      <c r="F2" s="21"/>
      <c r="G2" s="21"/>
      <c r="H2" s="21"/>
      <c r="I2" s="21"/>
      <c r="J2" s="21"/>
      <c r="K2" s="1"/>
    </row>
    <row r="3" spans="1:11" ht="30.75" customHeight="1">
      <c r="A3" s="1"/>
      <c r="B3" s="22" t="s">
        <v>24</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25</v>
      </c>
      <c r="C7" s="18"/>
      <c r="D7" s="18"/>
      <c r="E7" s="18"/>
      <c r="F7" s="18"/>
      <c r="G7" s="1"/>
      <c r="H7" s="1"/>
      <c r="I7" s="1"/>
      <c r="J7" s="1"/>
      <c r="K7" s="1"/>
    </row>
    <row r="8" spans="1:11" ht="37.35" customHeight="1">
      <c r="A8" s="1"/>
      <c r="B8" s="4" t="s">
        <v>26</v>
      </c>
      <c r="C8" s="4" t="s">
        <v>27</v>
      </c>
      <c r="D8" s="4" t="s">
        <v>28</v>
      </c>
      <c r="E8" s="4" t="s">
        <v>29</v>
      </c>
      <c r="F8" s="4" t="s">
        <v>30</v>
      </c>
      <c r="G8" s="1"/>
      <c r="H8" s="1"/>
      <c r="I8" s="1"/>
      <c r="J8" s="1"/>
      <c r="K8" s="1"/>
    </row>
    <row r="9" spans="1:11">
      <c r="A9" s="1"/>
      <c r="B9" s="5" t="s">
        <v>31</v>
      </c>
      <c r="C9" s="6">
        <v>1650</v>
      </c>
      <c r="D9" s="6">
        <v>620</v>
      </c>
      <c r="E9" s="7">
        <f>C9-D9</f>
        <v>1030</v>
      </c>
      <c r="F9" s="8">
        <f>E9/$E$21</f>
        <v>0.2536945812807882</v>
      </c>
      <c r="G9" s="1"/>
      <c r="H9" s="1"/>
      <c r="I9" s="1"/>
      <c r="J9" s="1"/>
      <c r="K9" s="1"/>
    </row>
    <row r="10" spans="1:11">
      <c r="A10" s="1"/>
      <c r="B10" s="5" t="s">
        <v>32</v>
      </c>
      <c r="C10" s="6">
        <v>2900</v>
      </c>
      <c r="D10" s="6">
        <v>1750</v>
      </c>
      <c r="E10" s="7">
        <f t="shared" ref="E10:E12" si="0">C10-D10</f>
        <v>1150</v>
      </c>
      <c r="F10" s="8">
        <f>E10/$E$21</f>
        <v>0.28325123152709358</v>
      </c>
      <c r="G10" s="1"/>
      <c r="H10" s="1"/>
      <c r="I10" s="1"/>
      <c r="J10" s="1"/>
      <c r="K10" s="1"/>
    </row>
    <row r="11" spans="1:11">
      <c r="A11" s="1"/>
      <c r="B11" s="5" t="s">
        <v>33</v>
      </c>
      <c r="C11" s="6">
        <v>1250</v>
      </c>
      <c r="D11" s="6">
        <v>720</v>
      </c>
      <c r="E11" s="7">
        <f t="shared" si="0"/>
        <v>530</v>
      </c>
      <c r="F11" s="8">
        <f>E11/$E$21</f>
        <v>0.13054187192118227</v>
      </c>
      <c r="G11" s="1"/>
      <c r="H11" s="1"/>
      <c r="I11" s="1"/>
      <c r="J11" s="1"/>
      <c r="K11" s="1"/>
    </row>
    <row r="12" spans="1:11">
      <c r="A12" s="1"/>
      <c r="B12" s="5" t="s">
        <v>34</v>
      </c>
      <c r="C12" s="6">
        <v>2400</v>
      </c>
      <c r="D12" s="6">
        <v>1050</v>
      </c>
      <c r="E12" s="7">
        <f t="shared" si="0"/>
        <v>1350</v>
      </c>
      <c r="F12" s="8">
        <f>E12/$E$21</f>
        <v>0.33251231527093594</v>
      </c>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ht="30.75" customHeight="1">
      <c r="A15" s="1"/>
      <c r="B15" s="18" t="s">
        <v>35</v>
      </c>
      <c r="C15" s="18"/>
      <c r="D15" s="18"/>
      <c r="E15" s="18"/>
      <c r="F15" s="18"/>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8" t="s">
        <v>38</v>
      </c>
      <c r="C20" s="18"/>
      <c r="D20" s="18"/>
      <c r="E20" s="18"/>
      <c r="F20" s="18"/>
      <c r="G20" s="18"/>
      <c r="H20" s="1"/>
      <c r="I20" s="1"/>
      <c r="J20" s="1"/>
      <c r="K20" s="1"/>
    </row>
    <row r="21" spans="1:11" ht="33.200000000000003" customHeight="1">
      <c r="A21" s="1"/>
      <c r="B21" s="20" t="s">
        <v>39</v>
      </c>
      <c r="C21" s="20"/>
      <c r="D21" s="20"/>
      <c r="E21" s="36">
        <f>SUM(E9:E12)</f>
        <v>4060</v>
      </c>
      <c r="F21" s="16"/>
      <c r="G21" s="16"/>
      <c r="H21" s="1"/>
      <c r="I21" s="1"/>
      <c r="J21" s="1"/>
      <c r="K21" s="1"/>
    </row>
    <row r="22" spans="1:11">
      <c r="A22" s="1"/>
      <c r="B22" s="1"/>
      <c r="C22" s="1"/>
      <c r="D22" s="1"/>
      <c r="E22" s="1"/>
      <c r="F22" s="1"/>
      <c r="G22" s="1"/>
      <c r="H22" s="1"/>
      <c r="I22" s="1"/>
      <c r="J22" s="1"/>
      <c r="K22" s="1"/>
    </row>
    <row r="23" spans="1:11" ht="33.200000000000003" customHeight="1">
      <c r="A23" s="1"/>
      <c r="B23" s="20" t="s">
        <v>40</v>
      </c>
      <c r="C23" s="20"/>
      <c r="D23" s="20"/>
      <c r="E23" s="36">
        <f>C16-C17</f>
        <v>380</v>
      </c>
      <c r="F23" s="16"/>
      <c r="G23" s="16"/>
      <c r="H23" s="1"/>
      <c r="I23" s="1"/>
      <c r="J23" s="1"/>
      <c r="K23" s="1"/>
    </row>
    <row r="24" spans="1:11">
      <c r="A24" s="1"/>
      <c r="B24" s="1"/>
      <c r="C24" s="1"/>
      <c r="D24" s="1"/>
      <c r="E24" s="1"/>
      <c r="F24" s="1"/>
      <c r="G24" s="1"/>
      <c r="H24" s="1"/>
      <c r="I24" s="1"/>
      <c r="J24" s="1"/>
      <c r="K24" s="1"/>
    </row>
    <row r="25" spans="1:11" ht="33.200000000000003" customHeight="1">
      <c r="A25" s="1"/>
      <c r="B25" s="20" t="s">
        <v>41</v>
      </c>
      <c r="C25" s="20"/>
      <c r="D25" s="20"/>
      <c r="E25" s="36">
        <f>E21+E23</f>
        <v>4440</v>
      </c>
      <c r="F25" s="16"/>
      <c r="G25" s="16"/>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8" t="s">
        <v>42</v>
      </c>
      <c r="C28" s="18"/>
      <c r="D28" s="18"/>
      <c r="E28" s="18"/>
      <c r="F28" s="18"/>
      <c r="G28" s="18"/>
      <c r="H28" s="1"/>
      <c r="I28" s="1"/>
      <c r="J28" s="1"/>
      <c r="K28" s="1"/>
    </row>
    <row r="29" spans="1:11" ht="14.25" customHeight="1">
      <c r="A29" s="1"/>
      <c r="B29" s="19" t="s">
        <v>128</v>
      </c>
      <c r="C29" s="19"/>
      <c r="D29" s="19"/>
      <c r="E29" s="19"/>
      <c r="F29" s="19"/>
      <c r="G29" s="19"/>
      <c r="H29" s="1"/>
      <c r="I29" s="1"/>
      <c r="J29" s="1"/>
      <c r="K29" s="1"/>
    </row>
    <row r="30" spans="1:11">
      <c r="A30" s="1"/>
      <c r="B30" s="19"/>
      <c r="C30" s="19"/>
      <c r="D30" s="19"/>
      <c r="E30" s="19"/>
      <c r="F30" s="19"/>
      <c r="G30" s="19"/>
      <c r="H30" s="1"/>
      <c r="I30" s="1"/>
      <c r="J30" s="1"/>
      <c r="K30" s="1"/>
    </row>
    <row r="31" spans="1:11">
      <c r="A31" s="1"/>
      <c r="B31" s="19"/>
      <c r="C31" s="19"/>
      <c r="D31" s="19"/>
      <c r="E31" s="19"/>
      <c r="F31" s="19"/>
      <c r="G31" s="19"/>
      <c r="H31" s="1"/>
      <c r="I31" s="1"/>
      <c r="J31" s="1"/>
      <c r="K31" s="1"/>
    </row>
    <row r="32" spans="1:11" ht="67.5" customHeight="1">
      <c r="A32" s="1"/>
      <c r="B32" s="19"/>
      <c r="C32" s="19"/>
      <c r="D32" s="19"/>
      <c r="E32" s="19"/>
      <c r="F32" s="19"/>
      <c r="G32" s="19"/>
      <c r="H32" s="37"/>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3" t="s">
        <v>43</v>
      </c>
      <c r="C35" s="13"/>
      <c r="D35" s="13"/>
      <c r="E35" s="13"/>
      <c r="F35" s="13"/>
      <c r="G35" s="13"/>
      <c r="H35" s="13"/>
      <c r="I35" s="13"/>
      <c r="J35" s="13"/>
      <c r="K35" s="1"/>
    </row>
    <row r="36" spans="1:11">
      <c r="A36" s="1"/>
      <c r="B36" s="14" t="s">
        <v>44</v>
      </c>
      <c r="C36" s="14"/>
      <c r="D36" s="14"/>
      <c r="E36" s="14"/>
      <c r="F36" s="14"/>
      <c r="G36" s="14"/>
      <c r="H36" s="14"/>
      <c r="I36" s="14"/>
      <c r="J36" s="14"/>
      <c r="K36" s="1"/>
    </row>
    <row r="37" spans="1:11">
      <c r="A37" s="1"/>
      <c r="B37" s="14"/>
      <c r="C37" s="14"/>
      <c r="D37" s="14"/>
      <c r="E37" s="14"/>
      <c r="F37" s="14"/>
      <c r="G37" s="14"/>
      <c r="H37" s="14"/>
      <c r="I37" s="14"/>
      <c r="J37" s="14"/>
      <c r="K37" s="1"/>
    </row>
    <row r="38" spans="1:11">
      <c r="A38" s="1"/>
      <c r="B38" s="14"/>
      <c r="C38" s="14"/>
      <c r="D38" s="14"/>
      <c r="E38" s="14"/>
      <c r="F38" s="14"/>
      <c r="G38" s="14"/>
      <c r="H38" s="14"/>
      <c r="I38" s="14"/>
      <c r="J38" s="14"/>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5" t="s">
        <v>45</v>
      </c>
      <c r="C41" s="15"/>
      <c r="D41" s="15"/>
      <c r="E41" s="15"/>
      <c r="F41" s="15"/>
      <c r="G41" s="15"/>
      <c r="H41" s="15"/>
      <c r="I41" s="15"/>
      <c r="J41" s="15"/>
      <c r="K41" s="1"/>
    </row>
    <row r="42" spans="1:11" ht="32.1" customHeight="1">
      <c r="A42" s="1"/>
      <c r="B42" s="12" t="s">
        <v>129</v>
      </c>
      <c r="C42" s="12"/>
      <c r="D42" s="12"/>
      <c r="E42" s="12"/>
      <c r="F42" s="12"/>
      <c r="G42" s="12"/>
      <c r="H42" s="12"/>
      <c r="I42" s="12"/>
      <c r="J42" s="12"/>
      <c r="K42" s="1"/>
    </row>
    <row r="43" spans="1:11" ht="32.1" customHeight="1">
      <c r="A43" s="1"/>
      <c r="B43" s="12"/>
      <c r="C43" s="12"/>
      <c r="D43" s="12"/>
      <c r="E43" s="12"/>
      <c r="F43" s="12"/>
      <c r="G43" s="12"/>
      <c r="H43" s="12"/>
      <c r="I43" s="12"/>
      <c r="J43" s="12"/>
      <c r="K43" s="1"/>
    </row>
    <row r="44" spans="1:11" ht="32.1" customHeight="1">
      <c r="A44" s="1"/>
      <c r="B44" s="12"/>
      <c r="C44" s="12"/>
      <c r="D44" s="12"/>
      <c r="E44" s="12"/>
      <c r="F44" s="12"/>
      <c r="G44" s="12"/>
      <c r="H44" s="12"/>
      <c r="I44" s="12"/>
      <c r="J44" s="12"/>
      <c r="K44" s="1"/>
    </row>
    <row r="45" spans="1:11" ht="32.1" customHeight="1">
      <c r="A45" s="1"/>
      <c r="B45" s="12"/>
      <c r="C45" s="12"/>
      <c r="D45" s="12"/>
      <c r="E45" s="12"/>
      <c r="F45" s="12"/>
      <c r="G45" s="12"/>
      <c r="H45" s="12"/>
      <c r="I45" s="12"/>
      <c r="J45" s="12"/>
      <c r="K45" s="1"/>
    </row>
    <row r="46" spans="1:11" ht="32.1" customHeight="1">
      <c r="A46" s="1"/>
      <c r="B46" s="12"/>
      <c r="C46" s="12"/>
      <c r="D46" s="12"/>
      <c r="E46" s="12"/>
      <c r="F46" s="12"/>
      <c r="G46" s="12"/>
      <c r="H46" s="12"/>
      <c r="I46" s="12"/>
      <c r="J46" s="12"/>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A8" workbookViewId="0">
      <selection activeCell="B48" sqref="B48"/>
    </sheetView>
  </sheetViews>
  <sheetFormatPr baseColWidth="10" defaultColWidth="8.875" defaultRowHeight="14.25"/>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2" customHeight="1">
      <c r="A2" s="1"/>
      <c r="B2" s="21" t="s">
        <v>46</v>
      </c>
      <c r="C2" s="21"/>
      <c r="D2" s="21"/>
      <c r="E2" s="21"/>
      <c r="F2" s="21"/>
      <c r="G2" s="21"/>
      <c r="H2" s="1"/>
      <c r="I2" s="1"/>
      <c r="J2" s="1"/>
      <c r="K2" s="1"/>
    </row>
    <row r="3" spans="1:11" ht="30.75" customHeight="1">
      <c r="A3" s="1"/>
      <c r="B3" s="22" t="s">
        <v>47</v>
      </c>
      <c r="C3" s="22"/>
      <c r="D3" s="22"/>
      <c r="E3" s="22"/>
      <c r="F3" s="22"/>
      <c r="G3" s="22"/>
      <c r="H3" s="1"/>
      <c r="I3" s="1"/>
      <c r="J3" s="1"/>
      <c r="K3" s="1"/>
    </row>
    <row r="4" spans="1:11" ht="6.75" customHeight="1">
      <c r="A4" s="1"/>
      <c r="B4" s="23"/>
      <c r="C4" s="23"/>
      <c r="D4" s="23"/>
      <c r="E4" s="23"/>
      <c r="F4" s="23"/>
      <c r="G4" s="23"/>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48</v>
      </c>
      <c r="C7" s="18"/>
      <c r="D7" s="1"/>
      <c r="E7" s="1"/>
      <c r="F7" s="1"/>
      <c r="G7" s="1"/>
      <c r="H7" s="1"/>
      <c r="I7" s="1"/>
      <c r="J7" s="1"/>
      <c r="K7" s="1"/>
    </row>
    <row r="8" spans="1:11" ht="37.35" customHeight="1">
      <c r="A8" s="1"/>
      <c r="B8" s="4" t="s">
        <v>49</v>
      </c>
      <c r="C8" s="4" t="s">
        <v>50</v>
      </c>
      <c r="D8" s="1"/>
      <c r="E8" s="1"/>
      <c r="F8" s="1"/>
      <c r="G8" s="1"/>
      <c r="H8" s="1"/>
      <c r="I8" s="1"/>
      <c r="J8" s="1"/>
      <c r="K8" s="1"/>
    </row>
    <row r="9" spans="1:11">
      <c r="A9" s="1"/>
      <c r="B9" s="5" t="s">
        <v>51</v>
      </c>
      <c r="C9" s="9">
        <v>5100</v>
      </c>
      <c r="D9" s="1"/>
      <c r="E9" s="1"/>
      <c r="F9" s="1"/>
      <c r="G9" s="1"/>
      <c r="H9" s="1"/>
      <c r="I9" s="1"/>
      <c r="J9" s="1"/>
      <c r="K9" s="1"/>
    </row>
    <row r="10" spans="1:11">
      <c r="A10" s="1"/>
      <c r="B10" s="5" t="s">
        <v>52</v>
      </c>
      <c r="C10" s="9">
        <v>1150</v>
      </c>
      <c r="D10" s="1"/>
      <c r="E10" s="1"/>
      <c r="F10" s="1"/>
      <c r="G10" s="1"/>
      <c r="H10" s="1"/>
      <c r="I10" s="1"/>
      <c r="J10" s="1"/>
      <c r="K10" s="1"/>
    </row>
    <row r="11" spans="1:11">
      <c r="A11" s="1"/>
      <c r="B11" s="5" t="s">
        <v>53</v>
      </c>
      <c r="C11" s="9">
        <v>1700</v>
      </c>
      <c r="D11" s="1"/>
      <c r="E11" s="1"/>
      <c r="F11" s="1"/>
      <c r="G11" s="1"/>
      <c r="H11" s="1"/>
      <c r="I11" s="1"/>
      <c r="J11" s="1"/>
      <c r="K11" s="1"/>
    </row>
    <row r="12" spans="1:11">
      <c r="A12" s="1"/>
      <c r="B12" s="5" t="s">
        <v>54</v>
      </c>
      <c r="C12" s="9">
        <v>-120</v>
      </c>
      <c r="D12" s="1"/>
      <c r="E12" s="1"/>
      <c r="F12" s="1"/>
      <c r="G12" s="1"/>
      <c r="H12" s="1"/>
      <c r="I12" s="1"/>
      <c r="J12" s="1"/>
      <c r="K12" s="1"/>
    </row>
    <row r="13" spans="1:11">
      <c r="A13" s="1"/>
      <c r="B13" s="5" t="s">
        <v>55</v>
      </c>
      <c r="C13" s="9">
        <v>1250</v>
      </c>
      <c r="D13" s="1"/>
      <c r="E13" s="1"/>
      <c r="F13" s="1"/>
      <c r="G13" s="1"/>
      <c r="H13" s="1"/>
      <c r="I13" s="1"/>
      <c r="J13" s="1"/>
      <c r="K13" s="1"/>
    </row>
    <row r="14" spans="1:11">
      <c r="A14" s="1"/>
      <c r="B14" s="5" t="s">
        <v>56</v>
      </c>
      <c r="C14" s="9">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8" t="s">
        <v>57</v>
      </c>
      <c r="C17" s="18"/>
      <c r="D17" s="18"/>
      <c r="E17" s="18"/>
      <c r="F17" s="18"/>
      <c r="G17" s="18"/>
      <c r="H17" s="1"/>
      <c r="I17" s="1"/>
      <c r="J17" s="1"/>
      <c r="K17" s="1"/>
    </row>
    <row r="18" spans="1:11" ht="33.200000000000003" customHeight="1">
      <c r="A18" s="1"/>
      <c r="B18" s="20" t="s">
        <v>58</v>
      </c>
      <c r="C18" s="20"/>
      <c r="D18" s="20"/>
      <c r="E18" s="38">
        <f>C11+C12</f>
        <v>1580</v>
      </c>
      <c r="F18" s="16"/>
      <c r="G18" s="16"/>
      <c r="H18" s="1"/>
      <c r="I18" s="1"/>
      <c r="J18" s="1"/>
      <c r="K18" s="1"/>
    </row>
    <row r="19" spans="1:11">
      <c r="A19" s="1"/>
      <c r="B19" s="1"/>
      <c r="C19" s="1"/>
      <c r="D19" s="1"/>
      <c r="E19" s="1"/>
      <c r="F19" s="1"/>
      <c r="G19" s="1"/>
      <c r="H19" s="1"/>
      <c r="I19" s="1"/>
      <c r="J19" s="1"/>
      <c r="K19" s="1"/>
    </row>
    <row r="20" spans="1:11" ht="33.200000000000003" customHeight="1">
      <c r="A20" s="1"/>
      <c r="B20" s="20" t="s">
        <v>59</v>
      </c>
      <c r="C20" s="20"/>
      <c r="D20" s="20"/>
      <c r="E20" s="38">
        <f>C13-C14</f>
        <v>-390</v>
      </c>
      <c r="F20" s="16"/>
      <c r="G20" s="16"/>
      <c r="H20" s="1"/>
      <c r="I20" s="1"/>
      <c r="J20" s="1"/>
      <c r="K20" s="1"/>
    </row>
    <row r="21" spans="1:11">
      <c r="A21" s="1"/>
      <c r="B21" s="1"/>
      <c r="C21" s="1"/>
      <c r="D21" s="1"/>
      <c r="E21" s="1"/>
      <c r="F21" s="1"/>
      <c r="G21" s="1"/>
      <c r="H21" s="1"/>
      <c r="I21" s="1"/>
      <c r="J21" s="1"/>
      <c r="K21" s="1"/>
    </row>
    <row r="22" spans="1:11" ht="33.200000000000003" customHeight="1">
      <c r="A22" s="1"/>
      <c r="B22" s="20" t="s">
        <v>60</v>
      </c>
      <c r="C22" s="20"/>
      <c r="D22" s="20"/>
      <c r="E22" s="38">
        <f>C9+E18+C10+E20</f>
        <v>7440</v>
      </c>
      <c r="F22" s="16"/>
      <c r="G22" s="16"/>
      <c r="H22" s="1"/>
      <c r="I22" s="1"/>
      <c r="J22" s="1"/>
      <c r="K22" s="1"/>
    </row>
    <row r="23" spans="1:11">
      <c r="A23" s="1"/>
      <c r="B23" s="1"/>
      <c r="C23" s="1"/>
      <c r="D23" s="1"/>
      <c r="E23" s="1"/>
      <c r="F23" s="1"/>
      <c r="G23" s="1"/>
      <c r="H23" s="1"/>
      <c r="I23" s="1"/>
      <c r="J23" s="1"/>
      <c r="K23" s="1"/>
    </row>
    <row r="24" spans="1:11" ht="33.200000000000003" customHeight="1">
      <c r="A24" s="1"/>
      <c r="B24" s="20" t="s">
        <v>61</v>
      </c>
      <c r="C24" s="20"/>
      <c r="D24" s="20"/>
      <c r="E24" s="38">
        <f>E22+250</f>
        <v>7690</v>
      </c>
      <c r="F24" s="16"/>
      <c r="G24" s="16"/>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8" t="s">
        <v>42</v>
      </c>
      <c r="C27" s="18"/>
      <c r="D27" s="18"/>
      <c r="E27" s="18"/>
      <c r="F27" s="18"/>
      <c r="G27" s="18"/>
      <c r="H27" s="1"/>
      <c r="I27" s="1"/>
      <c r="J27" s="1"/>
      <c r="K27" s="1"/>
    </row>
    <row r="28" spans="1:11">
      <c r="A28" s="1"/>
      <c r="B28" s="19" t="s">
        <v>62</v>
      </c>
      <c r="C28" s="19"/>
      <c r="D28" s="19"/>
      <c r="E28" s="19"/>
      <c r="F28" s="19"/>
      <c r="G28" s="19"/>
      <c r="H28" s="1"/>
      <c r="I28" s="1"/>
      <c r="J28" s="1"/>
      <c r="K28" s="1"/>
    </row>
    <row r="29" spans="1:11">
      <c r="A29" s="1"/>
      <c r="B29" s="19"/>
      <c r="C29" s="19"/>
      <c r="D29" s="19"/>
      <c r="E29" s="19"/>
      <c r="F29" s="19"/>
      <c r="G29" s="19"/>
      <c r="H29" s="1"/>
      <c r="I29" s="1"/>
      <c r="J29" s="1"/>
      <c r="K29" s="1"/>
    </row>
    <row r="30" spans="1:11">
      <c r="A30" s="1"/>
      <c r="B30" s="19"/>
      <c r="C30" s="19"/>
      <c r="D30" s="19"/>
      <c r="E30" s="19"/>
      <c r="F30" s="19"/>
      <c r="G30" s="19"/>
      <c r="H30" s="1"/>
      <c r="I30" s="1"/>
      <c r="J30" s="1"/>
      <c r="K30" s="1"/>
    </row>
    <row r="31" spans="1:11">
      <c r="A31" s="1"/>
      <c r="B31" s="19"/>
      <c r="C31" s="19"/>
      <c r="D31" s="19"/>
      <c r="E31" s="19"/>
      <c r="F31" s="19"/>
      <c r="G31" s="19"/>
      <c r="H31" s="1"/>
      <c r="I31" s="1"/>
      <c r="J31" s="1"/>
      <c r="K31" s="1"/>
    </row>
    <row r="32" spans="1:11">
      <c r="A32" s="1"/>
      <c r="B32" s="19"/>
      <c r="C32" s="19"/>
      <c r="D32" s="19"/>
      <c r="E32" s="19"/>
      <c r="F32" s="19"/>
      <c r="G32" s="19"/>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3" t="s">
        <v>63</v>
      </c>
      <c r="C35" s="13"/>
      <c r="D35" s="13"/>
      <c r="E35" s="13"/>
      <c r="F35" s="13"/>
      <c r="G35" s="13"/>
      <c r="H35" s="1"/>
      <c r="I35" s="1"/>
      <c r="J35" s="1"/>
      <c r="K35" s="1"/>
    </row>
    <row r="36" spans="1:11">
      <c r="A36" s="1"/>
      <c r="B36" s="14" t="s">
        <v>64</v>
      </c>
      <c r="C36" s="14"/>
      <c r="D36" s="14"/>
      <c r="E36" s="14"/>
      <c r="F36" s="14"/>
      <c r="G36" s="14"/>
      <c r="H36" s="1"/>
      <c r="I36" s="1"/>
      <c r="J36" s="1"/>
      <c r="K36" s="1"/>
    </row>
    <row r="37" spans="1:11">
      <c r="A37" s="1"/>
      <c r="B37" s="14"/>
      <c r="C37" s="14"/>
      <c r="D37" s="14"/>
      <c r="E37" s="14"/>
      <c r="F37" s="14"/>
      <c r="G37" s="14"/>
      <c r="H37" s="1"/>
      <c r="I37" s="1"/>
      <c r="J37" s="1"/>
      <c r="K37" s="1"/>
    </row>
    <row r="38" spans="1:11">
      <c r="A38" s="1"/>
      <c r="B38" s="14"/>
      <c r="C38" s="14"/>
      <c r="D38" s="14"/>
      <c r="E38" s="14"/>
      <c r="F38" s="14"/>
      <c r="G38" s="14"/>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5" t="s">
        <v>65</v>
      </c>
      <c r="C41" s="15"/>
      <c r="D41" s="15"/>
      <c r="E41" s="15"/>
      <c r="F41" s="15"/>
      <c r="G41" s="15"/>
      <c r="H41" s="1"/>
      <c r="I41" s="1"/>
      <c r="J41" s="1"/>
      <c r="K41" s="1"/>
    </row>
    <row r="42" spans="1:11" ht="32.1" customHeight="1">
      <c r="A42" s="1"/>
      <c r="B42" s="12" t="s">
        <v>130</v>
      </c>
      <c r="C42" s="12"/>
      <c r="D42" s="12"/>
      <c r="E42" s="12"/>
      <c r="F42" s="12"/>
      <c r="G42" s="12"/>
      <c r="H42" s="1"/>
      <c r="I42" s="1"/>
      <c r="J42" s="1"/>
      <c r="K42" s="1"/>
    </row>
    <row r="43" spans="1:11" ht="32.1" customHeight="1">
      <c r="A43" s="1"/>
      <c r="B43" s="12"/>
      <c r="C43" s="12"/>
      <c r="D43" s="12"/>
      <c r="E43" s="12"/>
      <c r="F43" s="12"/>
      <c r="G43" s="12"/>
      <c r="H43" s="1"/>
      <c r="I43" s="1"/>
      <c r="J43" s="1"/>
      <c r="K43" s="1"/>
    </row>
    <row r="44" spans="1:11" ht="32.1" customHeight="1">
      <c r="A44" s="1"/>
      <c r="B44" s="12"/>
      <c r="C44" s="12"/>
      <c r="D44" s="12"/>
      <c r="E44" s="12"/>
      <c r="F44" s="12"/>
      <c r="G44" s="12"/>
      <c r="H44" s="1"/>
      <c r="I44" s="1"/>
      <c r="J44" s="1"/>
      <c r="K44" s="1"/>
    </row>
    <row r="45" spans="1:11" ht="32.1" customHeight="1">
      <c r="A45" s="1"/>
      <c r="B45" s="12"/>
      <c r="C45" s="12"/>
      <c r="D45" s="12"/>
      <c r="E45" s="12"/>
      <c r="F45" s="12"/>
      <c r="G45" s="12"/>
      <c r="H45" s="1"/>
      <c r="I45" s="1"/>
      <c r="J45" s="1"/>
      <c r="K45" s="1"/>
    </row>
    <row r="46" spans="1:11" ht="32.1" customHeight="1">
      <c r="A46" s="1"/>
      <c r="B46" s="12"/>
      <c r="C46" s="12"/>
      <c r="D46" s="12"/>
      <c r="E46" s="12"/>
      <c r="F46" s="12"/>
      <c r="G46" s="12"/>
      <c r="H46" s="1"/>
      <c r="I46" s="1"/>
      <c r="J46" s="1"/>
      <c r="K46" s="1"/>
    </row>
    <row r="47" spans="1:11" ht="32.1" customHeight="1">
      <c r="A47" s="1"/>
      <c r="B47" s="12"/>
      <c r="C47" s="12"/>
      <c r="D47" s="12"/>
      <c r="E47" s="12"/>
      <c r="F47" s="12"/>
      <c r="G47" s="12"/>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33" workbookViewId="0">
      <selection activeCell="B43" sqref="B43"/>
    </sheetView>
  </sheetViews>
  <sheetFormatPr baseColWidth="10" defaultColWidth="8.875" defaultRowHeight="14.25"/>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2" customHeight="1">
      <c r="A2" s="1"/>
      <c r="B2" s="21" t="s">
        <v>66</v>
      </c>
      <c r="C2" s="21"/>
      <c r="D2" s="21"/>
      <c r="E2" s="21"/>
      <c r="F2" s="21"/>
      <c r="G2" s="21"/>
      <c r="H2" s="21"/>
      <c r="I2" s="21"/>
      <c r="J2" s="1"/>
      <c r="K2" s="1"/>
    </row>
    <row r="3" spans="1:11" ht="30.75" customHeight="1">
      <c r="A3" s="1"/>
      <c r="B3" s="22" t="s">
        <v>67</v>
      </c>
      <c r="C3" s="22"/>
      <c r="D3" s="22"/>
      <c r="E3" s="22"/>
      <c r="F3" s="22"/>
      <c r="G3" s="22"/>
      <c r="H3" s="22"/>
      <c r="I3" s="22"/>
      <c r="J3" s="1"/>
      <c r="K3" s="1"/>
    </row>
    <row r="4" spans="1:11" ht="6.75" customHeight="1">
      <c r="A4" s="1"/>
      <c r="B4" s="23"/>
      <c r="C4" s="23"/>
      <c r="D4" s="23"/>
      <c r="E4" s="23"/>
      <c r="F4" s="23"/>
      <c r="G4" s="23"/>
      <c r="H4" s="23"/>
      <c r="I4" s="23"/>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68</v>
      </c>
      <c r="C7" s="18"/>
      <c r="D7" s="18"/>
      <c r="E7" s="1"/>
      <c r="F7" s="1"/>
      <c r="G7" s="1"/>
      <c r="H7" s="1"/>
      <c r="I7" s="1"/>
      <c r="J7" s="1"/>
      <c r="K7" s="1"/>
    </row>
    <row r="8" spans="1:11" ht="37.35" customHeight="1">
      <c r="A8" s="1"/>
      <c r="B8" s="4" t="s">
        <v>69</v>
      </c>
      <c r="C8" s="4" t="s">
        <v>50</v>
      </c>
      <c r="D8" s="4" t="s">
        <v>70</v>
      </c>
      <c r="E8" s="1"/>
      <c r="F8" s="1"/>
      <c r="G8" s="1"/>
      <c r="H8" s="1"/>
      <c r="I8" s="1"/>
      <c r="J8" s="1"/>
      <c r="K8" s="1"/>
    </row>
    <row r="9" spans="1:11">
      <c r="A9" s="1"/>
      <c r="B9" s="5" t="s">
        <v>71</v>
      </c>
      <c r="C9" s="6">
        <v>4250</v>
      </c>
      <c r="D9" s="8">
        <f>C9/$E$19</f>
        <v>0.54347826086956519</v>
      </c>
      <c r="E9" s="1"/>
      <c r="F9" s="1"/>
      <c r="G9" s="1"/>
      <c r="H9" s="1"/>
      <c r="I9" s="1"/>
      <c r="J9" s="1"/>
      <c r="K9" s="1"/>
    </row>
    <row r="10" spans="1:11">
      <c r="A10" s="1"/>
      <c r="B10" s="5" t="s">
        <v>72</v>
      </c>
      <c r="C10" s="6">
        <v>2100</v>
      </c>
      <c r="D10" s="8">
        <f t="shared" ref="D10:D11" si="0">C10/$E$19</f>
        <v>0.26854219948849106</v>
      </c>
      <c r="E10" s="1"/>
      <c r="F10" s="1"/>
      <c r="G10" s="1"/>
      <c r="H10" s="1"/>
      <c r="I10" s="1"/>
      <c r="J10" s="1"/>
      <c r="K10" s="1"/>
    </row>
    <row r="11" spans="1:11">
      <c r="A11" s="1"/>
      <c r="B11" s="5" t="s">
        <v>73</v>
      </c>
      <c r="C11" s="6">
        <v>960</v>
      </c>
      <c r="D11" s="8">
        <f t="shared" si="0"/>
        <v>0.12276214833759591</v>
      </c>
      <c r="E11" s="1"/>
      <c r="F11" s="1"/>
      <c r="G11" s="1"/>
      <c r="H11" s="1"/>
      <c r="I11" s="1"/>
      <c r="J11" s="1"/>
      <c r="K11" s="1"/>
    </row>
    <row r="12" spans="1:11">
      <c r="A12" s="1"/>
      <c r="B12" s="5" t="s">
        <v>74</v>
      </c>
      <c r="C12" s="6">
        <v>620</v>
      </c>
      <c r="D12" s="1"/>
      <c r="E12" s="1"/>
      <c r="F12" s="1"/>
      <c r="G12" s="1"/>
      <c r="H12" s="1"/>
      <c r="I12" s="1"/>
      <c r="J12" s="1"/>
      <c r="K12" s="1"/>
    </row>
    <row r="13" spans="1:11">
      <c r="A13" s="1"/>
      <c r="B13" s="5" t="s">
        <v>75</v>
      </c>
      <c r="C13" s="6">
        <v>110</v>
      </c>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8" t="s">
        <v>57</v>
      </c>
      <c r="C16" s="18"/>
      <c r="D16" s="18"/>
      <c r="E16" s="18"/>
      <c r="F16" s="18"/>
      <c r="G16" s="18"/>
      <c r="H16" s="1"/>
      <c r="I16" s="1"/>
      <c r="J16" s="1"/>
      <c r="K16" s="1"/>
    </row>
    <row r="17" spans="1:11" ht="33.200000000000003" customHeight="1">
      <c r="A17" s="1"/>
      <c r="B17" s="20" t="s">
        <v>76</v>
      </c>
      <c r="C17" s="20"/>
      <c r="D17" s="20"/>
      <c r="E17" s="36">
        <f>C12-C13</f>
        <v>510</v>
      </c>
      <c r="F17" s="16"/>
      <c r="G17" s="16"/>
      <c r="H17" s="1"/>
      <c r="I17" s="1"/>
      <c r="J17" s="1"/>
      <c r="K17" s="1"/>
    </row>
    <row r="18" spans="1:11">
      <c r="A18" s="1"/>
      <c r="B18" s="1"/>
      <c r="C18" s="1"/>
      <c r="D18" s="1"/>
      <c r="E18" s="1"/>
      <c r="F18" s="1"/>
      <c r="G18" s="1"/>
      <c r="H18" s="1"/>
      <c r="I18" s="1"/>
      <c r="J18" s="1"/>
      <c r="K18" s="1"/>
    </row>
    <row r="19" spans="1:11" ht="33.200000000000003" customHeight="1">
      <c r="A19" s="1"/>
      <c r="B19" s="20" t="s">
        <v>77</v>
      </c>
      <c r="C19" s="20"/>
      <c r="D19" s="20"/>
      <c r="E19" s="36">
        <f>C9+C10+C11+E17</f>
        <v>7820</v>
      </c>
      <c r="F19" s="16"/>
      <c r="G19" s="16"/>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8" t="s">
        <v>42</v>
      </c>
      <c r="C22" s="18"/>
      <c r="D22" s="18"/>
      <c r="E22" s="18"/>
      <c r="F22" s="18"/>
      <c r="G22" s="18"/>
      <c r="H22" s="1"/>
      <c r="I22" s="1"/>
      <c r="J22" s="1"/>
      <c r="K22" s="1"/>
    </row>
    <row r="23" spans="1:11">
      <c r="A23" s="1"/>
      <c r="B23" s="19" t="s">
        <v>131</v>
      </c>
      <c r="C23" s="19"/>
      <c r="D23" s="19"/>
      <c r="E23" s="19"/>
      <c r="F23" s="19"/>
      <c r="G23" s="19"/>
      <c r="H23" s="1"/>
      <c r="I23" s="1"/>
      <c r="J23" s="1"/>
      <c r="K23" s="1"/>
    </row>
    <row r="24" spans="1:11">
      <c r="A24" s="1"/>
      <c r="B24" s="19"/>
      <c r="C24" s="19"/>
      <c r="D24" s="19"/>
      <c r="E24" s="19"/>
      <c r="F24" s="19"/>
      <c r="G24" s="19"/>
      <c r="H24" s="1"/>
      <c r="I24" s="1"/>
      <c r="J24" s="1"/>
      <c r="K24" s="1"/>
    </row>
    <row r="25" spans="1:11">
      <c r="A25" s="1"/>
      <c r="B25" s="19"/>
      <c r="C25" s="19"/>
      <c r="D25" s="19"/>
      <c r="E25" s="19"/>
      <c r="F25" s="19"/>
      <c r="G25" s="19"/>
      <c r="H25" s="1"/>
      <c r="I25" s="1"/>
      <c r="J25" s="1"/>
      <c r="K25" s="1"/>
    </row>
    <row r="26" spans="1:11">
      <c r="A26" s="1"/>
      <c r="B26" s="19"/>
      <c r="C26" s="19"/>
      <c r="D26" s="19"/>
      <c r="E26" s="19"/>
      <c r="F26" s="19"/>
      <c r="G26" s="19"/>
      <c r="H26" s="1"/>
      <c r="I26" s="1"/>
      <c r="J26" s="1"/>
      <c r="K26" s="1"/>
    </row>
    <row r="27" spans="1:11" ht="41.25" customHeight="1">
      <c r="A27" s="1"/>
      <c r="B27" s="19"/>
      <c r="C27" s="19"/>
      <c r="D27" s="19"/>
      <c r="E27" s="19"/>
      <c r="F27" s="19"/>
      <c r="G27" s="19"/>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13" t="s">
        <v>63</v>
      </c>
      <c r="C30" s="13"/>
      <c r="D30" s="13"/>
      <c r="E30" s="13"/>
      <c r="F30" s="13"/>
      <c r="G30" s="13"/>
      <c r="H30" s="13"/>
      <c r="I30" s="13"/>
      <c r="J30" s="1"/>
      <c r="K30" s="1"/>
    </row>
    <row r="31" spans="1:11">
      <c r="A31" s="1"/>
      <c r="B31" s="14" t="s">
        <v>78</v>
      </c>
      <c r="C31" s="14"/>
      <c r="D31" s="14"/>
      <c r="E31" s="14"/>
      <c r="F31" s="14"/>
      <c r="G31" s="14"/>
      <c r="H31" s="14"/>
      <c r="I31" s="14"/>
      <c r="J31" s="1"/>
      <c r="K31" s="1"/>
    </row>
    <row r="32" spans="1:11">
      <c r="A32" s="1"/>
      <c r="B32" s="14"/>
      <c r="C32" s="14"/>
      <c r="D32" s="14"/>
      <c r="E32" s="14"/>
      <c r="F32" s="14"/>
      <c r="G32" s="14"/>
      <c r="H32" s="14"/>
      <c r="I32" s="14"/>
      <c r="J32" s="1"/>
      <c r="K32" s="1"/>
    </row>
    <row r="33" spans="1:11">
      <c r="A33" s="1"/>
      <c r="B33" s="14"/>
      <c r="C33" s="14"/>
      <c r="D33" s="14"/>
      <c r="E33" s="14"/>
      <c r="F33" s="14"/>
      <c r="G33" s="14"/>
      <c r="H33" s="14"/>
      <c r="I33" s="14"/>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15" t="s">
        <v>79</v>
      </c>
      <c r="C36" s="15"/>
      <c r="D36" s="15"/>
      <c r="E36" s="15"/>
      <c r="F36" s="15"/>
      <c r="G36" s="15"/>
      <c r="H36" s="15"/>
      <c r="I36" s="15"/>
      <c r="J36" s="1"/>
      <c r="K36" s="1"/>
    </row>
    <row r="37" spans="1:11" ht="32.1" customHeight="1">
      <c r="A37" s="1"/>
      <c r="B37" s="12" t="s">
        <v>132</v>
      </c>
      <c r="C37" s="12"/>
      <c r="D37" s="12"/>
      <c r="E37" s="12"/>
      <c r="F37" s="12"/>
      <c r="G37" s="12"/>
      <c r="H37" s="12"/>
      <c r="I37" s="12"/>
      <c r="J37" s="1"/>
      <c r="K37" s="1"/>
    </row>
    <row r="38" spans="1:11" ht="32.1" customHeight="1">
      <c r="A38" s="1"/>
      <c r="B38" s="12"/>
      <c r="C38" s="12"/>
      <c r="D38" s="12"/>
      <c r="E38" s="12"/>
      <c r="F38" s="12"/>
      <c r="G38" s="12"/>
      <c r="H38" s="12"/>
      <c r="I38" s="12"/>
      <c r="J38" s="1"/>
      <c r="K38" s="1"/>
    </row>
    <row r="39" spans="1:11" ht="32.1" customHeight="1">
      <c r="A39" s="1"/>
      <c r="B39" s="12"/>
      <c r="C39" s="12"/>
      <c r="D39" s="12"/>
      <c r="E39" s="12"/>
      <c r="F39" s="12"/>
      <c r="G39" s="12"/>
      <c r="H39" s="12"/>
      <c r="I39" s="12"/>
      <c r="J39" s="1"/>
      <c r="K39" s="1"/>
    </row>
    <row r="40" spans="1:11" ht="32.1" customHeight="1">
      <c r="A40" s="1"/>
      <c r="B40" s="12"/>
      <c r="C40" s="12"/>
      <c r="D40" s="12"/>
      <c r="E40" s="12"/>
      <c r="F40" s="12"/>
      <c r="G40" s="12"/>
      <c r="H40" s="12"/>
      <c r="I40" s="12"/>
      <c r="J40" s="1"/>
      <c r="K40" s="1"/>
    </row>
    <row r="41" spans="1:11" ht="32.1" customHeight="1">
      <c r="A41" s="1"/>
      <c r="B41" s="12"/>
      <c r="C41" s="12"/>
      <c r="D41" s="12"/>
      <c r="E41" s="12"/>
      <c r="F41" s="12"/>
      <c r="G41" s="12"/>
      <c r="H41" s="12"/>
      <c r="I41" s="12"/>
      <c r="J41" s="1"/>
      <c r="K41" s="1"/>
    </row>
    <row r="42" spans="1:11" ht="32.1" customHeight="1">
      <c r="A42" s="1"/>
      <c r="B42" s="12"/>
      <c r="C42" s="12"/>
      <c r="D42" s="12"/>
      <c r="E42" s="12"/>
      <c r="F42" s="12"/>
      <c r="G42" s="12"/>
      <c r="H42" s="12"/>
      <c r="I42" s="12"/>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46" workbookViewId="0">
      <selection activeCell="B43" sqref="B43:J47"/>
    </sheetView>
  </sheetViews>
  <sheetFormatPr baseColWidth="10" defaultColWidth="8.875" defaultRowHeight="14.25"/>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1" t="s">
        <v>80</v>
      </c>
      <c r="C2" s="21"/>
      <c r="D2" s="21"/>
      <c r="E2" s="21"/>
      <c r="F2" s="21"/>
      <c r="G2" s="21"/>
      <c r="H2" s="21"/>
      <c r="I2" s="21"/>
      <c r="J2" s="21"/>
      <c r="K2" s="1"/>
    </row>
    <row r="3" spans="1:11" ht="30.75" customHeight="1">
      <c r="A3" s="1"/>
      <c r="B3" s="22" t="s">
        <v>81</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82</v>
      </c>
      <c r="C7" s="18"/>
      <c r="D7" s="18"/>
      <c r="E7" s="18"/>
      <c r="F7" s="18"/>
      <c r="G7" s="18"/>
      <c r="H7" s="18"/>
      <c r="I7" s="18"/>
      <c r="J7" s="18"/>
      <c r="K7" s="1"/>
    </row>
    <row r="8" spans="1:11">
      <c r="A8" s="1"/>
      <c r="B8" s="24" t="s">
        <v>83</v>
      </c>
      <c r="C8" s="24"/>
      <c r="D8" s="24"/>
      <c r="E8" s="24"/>
      <c r="F8" s="25" t="s">
        <v>84</v>
      </c>
      <c r="G8" s="25"/>
      <c r="H8" s="25"/>
      <c r="I8" s="25"/>
      <c r="J8" s="25"/>
      <c r="K8" s="1"/>
    </row>
    <row r="9" spans="1:11">
      <c r="A9" s="1"/>
      <c r="B9" s="24"/>
      <c r="C9" s="24"/>
      <c r="D9" s="24"/>
      <c r="E9" s="24"/>
      <c r="F9" s="25"/>
      <c r="G9" s="25"/>
      <c r="H9" s="25"/>
      <c r="I9" s="25"/>
      <c r="J9" s="25"/>
      <c r="K9" s="1"/>
    </row>
    <row r="10" spans="1:11">
      <c r="A10" s="1"/>
      <c r="B10" s="24"/>
      <c r="C10" s="24"/>
      <c r="D10" s="24"/>
      <c r="E10" s="24"/>
      <c r="F10" s="25"/>
      <c r="G10" s="25"/>
      <c r="H10" s="25"/>
      <c r="I10" s="25"/>
      <c r="J10" s="2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85</v>
      </c>
      <c r="C13" s="18"/>
      <c r="D13" s="1"/>
      <c r="E13" s="18" t="s">
        <v>86</v>
      </c>
      <c r="F13" s="18"/>
      <c r="G13" s="1"/>
      <c r="H13" s="1"/>
      <c r="I13" s="1"/>
      <c r="J13" s="1"/>
      <c r="K13" s="1"/>
    </row>
    <row r="14" spans="1:11" ht="37.35" customHeight="1">
      <c r="A14" s="1"/>
      <c r="B14" s="4" t="s">
        <v>49</v>
      </c>
      <c r="C14" s="4" t="s">
        <v>50</v>
      </c>
      <c r="D14" s="1"/>
      <c r="E14" s="4" t="s">
        <v>49</v>
      </c>
      <c r="F14" s="4" t="s">
        <v>50</v>
      </c>
      <c r="G14" s="1"/>
      <c r="H14" s="1"/>
      <c r="I14" s="1"/>
      <c r="J14" s="1"/>
      <c r="K14" s="1"/>
    </row>
    <row r="15" spans="1:11">
      <c r="A15" s="1"/>
      <c r="B15" s="5" t="s">
        <v>87</v>
      </c>
      <c r="C15" s="6">
        <v>5200</v>
      </c>
      <c r="D15" s="1"/>
      <c r="E15" s="5" t="s">
        <v>71</v>
      </c>
      <c r="F15" s="6">
        <v>4300</v>
      </c>
      <c r="G15" s="1"/>
      <c r="H15" s="1"/>
      <c r="I15" s="1"/>
      <c r="J15" s="1"/>
      <c r="K15" s="1"/>
    </row>
    <row r="16" spans="1:11">
      <c r="A16" s="1"/>
      <c r="B16" s="5" t="s">
        <v>88</v>
      </c>
      <c r="C16" s="6">
        <v>1800</v>
      </c>
      <c r="D16" s="1"/>
      <c r="E16" s="5" t="s">
        <v>72</v>
      </c>
      <c r="F16" s="7">
        <f>9000-F15-F17-F18</f>
        <v>3100</v>
      </c>
      <c r="G16" s="1"/>
      <c r="H16" s="1"/>
      <c r="I16" s="1"/>
      <c r="J16" s="1"/>
      <c r="K16" s="1"/>
    </row>
    <row r="17" spans="1:11">
      <c r="A17" s="1"/>
      <c r="B17" s="5" t="s">
        <v>89</v>
      </c>
      <c r="C17" s="6">
        <v>1500</v>
      </c>
      <c r="D17" s="1"/>
      <c r="E17" s="5" t="s">
        <v>90</v>
      </c>
      <c r="F17" s="6">
        <v>1100</v>
      </c>
      <c r="G17" s="1"/>
      <c r="H17" s="1"/>
      <c r="I17" s="1"/>
      <c r="J17" s="1"/>
      <c r="K17" s="1"/>
    </row>
    <row r="18" spans="1:11">
      <c r="A18" s="1"/>
      <c r="B18" s="5" t="s">
        <v>91</v>
      </c>
      <c r="C18" s="6">
        <v>1100</v>
      </c>
      <c r="D18" s="1"/>
      <c r="E18" s="5" t="s">
        <v>92</v>
      </c>
      <c r="F18" s="6">
        <v>500</v>
      </c>
      <c r="G18" s="1"/>
      <c r="H18" s="1"/>
      <c r="I18" s="1"/>
      <c r="J18" s="1"/>
      <c r="K18" s="1"/>
    </row>
    <row r="19" spans="1:11">
      <c r="A19" s="1"/>
      <c r="B19" s="5" t="s">
        <v>93</v>
      </c>
      <c r="C19" s="7">
        <f>C15+C16+C17+C18-9000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8" t="s">
        <v>94</v>
      </c>
      <c r="C22" s="18"/>
      <c r="D22" s="18"/>
      <c r="E22" s="18"/>
      <c r="F22" s="18"/>
      <c r="G22" s="18"/>
      <c r="H22" s="18"/>
      <c r="I22" s="18"/>
      <c r="J22" s="18"/>
      <c r="K22" s="1"/>
    </row>
    <row r="23" spans="1:11">
      <c r="A23" s="1"/>
      <c r="B23" s="20" t="s">
        <v>95</v>
      </c>
      <c r="C23" s="20"/>
      <c r="D23" s="20"/>
      <c r="E23" s="20" t="s">
        <v>96</v>
      </c>
      <c r="F23" s="20"/>
      <c r="G23" s="20"/>
      <c r="H23" s="20" t="s">
        <v>97</v>
      </c>
      <c r="I23" s="20"/>
      <c r="J23" s="20"/>
      <c r="K23" s="1"/>
    </row>
    <row r="24" spans="1:11">
      <c r="A24" s="1"/>
      <c r="B24" s="36">
        <f>C19</f>
        <v>600</v>
      </c>
      <c r="C24" s="16"/>
      <c r="D24" s="16"/>
      <c r="E24" s="36">
        <f>F16</f>
        <v>3100</v>
      </c>
      <c r="F24" s="16"/>
      <c r="G24" s="16"/>
      <c r="H24" s="17" t="s">
        <v>98</v>
      </c>
      <c r="I24" s="17"/>
      <c r="J24" s="17"/>
      <c r="K24" s="1"/>
    </row>
    <row r="25" spans="1:11">
      <c r="A25" s="1"/>
      <c r="B25" s="16"/>
      <c r="C25" s="16"/>
      <c r="D25" s="16"/>
      <c r="E25" s="16"/>
      <c r="F25" s="16"/>
      <c r="G25" s="16"/>
      <c r="H25" s="17"/>
      <c r="I25" s="17"/>
      <c r="J25" s="17"/>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8" t="s">
        <v>42</v>
      </c>
      <c r="C28" s="18"/>
      <c r="D28" s="18"/>
      <c r="E28" s="18"/>
      <c r="F28" s="18"/>
      <c r="G28" s="18"/>
      <c r="H28" s="18"/>
      <c r="I28" s="18"/>
      <c r="J28" s="18"/>
      <c r="K28" s="1"/>
    </row>
    <row r="29" spans="1:11">
      <c r="A29" s="1"/>
      <c r="B29" s="19" t="s">
        <v>133</v>
      </c>
      <c r="C29" s="19"/>
      <c r="D29" s="19"/>
      <c r="E29" s="19"/>
      <c r="F29" s="19"/>
      <c r="G29" s="19"/>
      <c r="H29" s="19"/>
      <c r="I29" s="19"/>
      <c r="J29" s="19"/>
      <c r="K29" s="1"/>
    </row>
    <row r="30" spans="1:11">
      <c r="A30" s="1"/>
      <c r="B30" s="19"/>
      <c r="C30" s="19"/>
      <c r="D30" s="19"/>
      <c r="E30" s="19"/>
      <c r="F30" s="19"/>
      <c r="G30" s="19"/>
      <c r="H30" s="19"/>
      <c r="I30" s="19"/>
      <c r="J30" s="19"/>
      <c r="K30" s="1"/>
    </row>
    <row r="31" spans="1:11">
      <c r="A31" s="1"/>
      <c r="B31" s="19"/>
      <c r="C31" s="19"/>
      <c r="D31" s="19"/>
      <c r="E31" s="19"/>
      <c r="F31" s="19"/>
      <c r="G31" s="19"/>
      <c r="H31" s="19"/>
      <c r="I31" s="19"/>
      <c r="J31" s="19"/>
      <c r="K31" s="1"/>
    </row>
    <row r="32" spans="1:11">
      <c r="A32" s="1"/>
      <c r="B32" s="19"/>
      <c r="C32" s="19"/>
      <c r="D32" s="19"/>
      <c r="E32" s="19"/>
      <c r="F32" s="19"/>
      <c r="G32" s="19"/>
      <c r="H32" s="19"/>
      <c r="I32" s="19"/>
      <c r="J32" s="19"/>
      <c r="K32" s="1"/>
    </row>
    <row r="33" spans="1:11" ht="83.25" customHeight="1">
      <c r="A33" s="1"/>
      <c r="B33" s="19"/>
      <c r="C33" s="19"/>
      <c r="D33" s="19"/>
      <c r="E33" s="19"/>
      <c r="F33" s="19"/>
      <c r="G33" s="19"/>
      <c r="H33" s="19"/>
      <c r="I33" s="19"/>
      <c r="J33" s="19"/>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13" t="s">
        <v>99</v>
      </c>
      <c r="C36" s="13"/>
      <c r="D36" s="13"/>
      <c r="E36" s="13"/>
      <c r="F36" s="13"/>
      <c r="G36" s="13"/>
      <c r="H36" s="13"/>
      <c r="I36" s="13"/>
      <c r="J36" s="13"/>
      <c r="K36" s="1"/>
    </row>
    <row r="37" spans="1:11">
      <c r="A37" s="1"/>
      <c r="B37" s="14" t="s">
        <v>100</v>
      </c>
      <c r="C37" s="14"/>
      <c r="D37" s="14"/>
      <c r="E37" s="14"/>
      <c r="F37" s="14"/>
      <c r="G37" s="14"/>
      <c r="H37" s="14"/>
      <c r="I37" s="14"/>
      <c r="J37" s="14"/>
      <c r="K37" s="1"/>
    </row>
    <row r="38" spans="1:11">
      <c r="A38" s="1"/>
      <c r="B38" s="14"/>
      <c r="C38" s="14"/>
      <c r="D38" s="14"/>
      <c r="E38" s="14"/>
      <c r="F38" s="14"/>
      <c r="G38" s="14"/>
      <c r="H38" s="14"/>
      <c r="I38" s="14"/>
      <c r="J38" s="14"/>
      <c r="K38" s="1"/>
    </row>
    <row r="39" spans="1:11">
      <c r="A39" s="1"/>
      <c r="B39" s="14"/>
      <c r="C39" s="14"/>
      <c r="D39" s="14"/>
      <c r="E39" s="14"/>
      <c r="F39" s="14"/>
      <c r="G39" s="14"/>
      <c r="H39" s="14"/>
      <c r="I39" s="14"/>
      <c r="J39" s="14"/>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15" t="s">
        <v>101</v>
      </c>
      <c r="C42" s="15"/>
      <c r="D42" s="15"/>
      <c r="E42" s="15"/>
      <c r="F42" s="15"/>
      <c r="G42" s="15"/>
      <c r="H42" s="15"/>
      <c r="I42" s="15"/>
      <c r="J42" s="15"/>
      <c r="K42" s="1"/>
    </row>
    <row r="43" spans="1:11" ht="32.1" customHeight="1">
      <c r="A43" s="1"/>
      <c r="B43" s="12" t="s">
        <v>134</v>
      </c>
      <c r="C43" s="12"/>
      <c r="D43" s="12"/>
      <c r="E43" s="12"/>
      <c r="F43" s="12"/>
      <c r="G43" s="12"/>
      <c r="H43" s="12"/>
      <c r="I43" s="12"/>
      <c r="J43" s="12"/>
      <c r="K43" s="1"/>
    </row>
    <row r="44" spans="1:11" ht="32.1" customHeight="1">
      <c r="A44" s="1"/>
      <c r="B44" s="12"/>
      <c r="C44" s="12"/>
      <c r="D44" s="12"/>
      <c r="E44" s="12"/>
      <c r="F44" s="12"/>
      <c r="G44" s="12"/>
      <c r="H44" s="12"/>
      <c r="I44" s="12"/>
      <c r="J44" s="12"/>
      <c r="K44" s="1"/>
    </row>
    <row r="45" spans="1:11" ht="32.1" customHeight="1">
      <c r="A45" s="1"/>
      <c r="B45" s="12"/>
      <c r="C45" s="12"/>
      <c r="D45" s="12"/>
      <c r="E45" s="12"/>
      <c r="F45" s="12"/>
      <c r="G45" s="12"/>
      <c r="H45" s="12"/>
      <c r="I45" s="12"/>
      <c r="J45" s="12"/>
      <c r="K45" s="1"/>
    </row>
    <row r="46" spans="1:11" ht="32.1" customHeight="1">
      <c r="A46" s="1"/>
      <c r="B46" s="12"/>
      <c r="C46" s="12"/>
      <c r="D46" s="12"/>
      <c r="E46" s="12"/>
      <c r="F46" s="12"/>
      <c r="G46" s="12"/>
      <c r="H46" s="12"/>
      <c r="I46" s="12"/>
      <c r="J46" s="12"/>
      <c r="K46" s="1"/>
    </row>
    <row r="47" spans="1:11" ht="32.1" customHeight="1">
      <c r="A47" s="1"/>
      <c r="B47" s="12"/>
      <c r="C47" s="12"/>
      <c r="D47" s="12"/>
      <c r="E47" s="12"/>
      <c r="F47" s="12"/>
      <c r="G47" s="12"/>
      <c r="H47" s="12"/>
      <c r="I47" s="12"/>
      <c r="J47" s="12"/>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15" t="s">
        <v>102</v>
      </c>
      <c r="C50" s="15"/>
      <c r="D50" s="15"/>
      <c r="E50" s="15"/>
      <c r="F50" s="15"/>
      <c r="G50" s="15"/>
      <c r="H50" s="15"/>
      <c r="I50" s="15"/>
      <c r="J50" s="15"/>
      <c r="K50" s="1"/>
    </row>
    <row r="51" spans="1:11" ht="32.1" customHeight="1">
      <c r="A51" s="1"/>
      <c r="B51" s="12" t="s">
        <v>135</v>
      </c>
      <c r="C51" s="12"/>
      <c r="D51" s="12"/>
      <c r="E51" s="12"/>
      <c r="F51" s="12"/>
      <c r="G51" s="12"/>
      <c r="H51" s="12"/>
      <c r="I51" s="12"/>
      <c r="J51" s="12"/>
      <c r="K51" s="1"/>
    </row>
    <row r="52" spans="1:11" ht="32.1" customHeight="1">
      <c r="A52" s="1"/>
      <c r="B52" s="12"/>
      <c r="C52" s="12"/>
      <c r="D52" s="12"/>
      <c r="E52" s="12"/>
      <c r="F52" s="12"/>
      <c r="G52" s="12"/>
      <c r="H52" s="12"/>
      <c r="I52" s="12"/>
      <c r="J52" s="12"/>
      <c r="K52" s="1"/>
    </row>
    <row r="53" spans="1:11" ht="32.1" customHeight="1">
      <c r="A53" s="1"/>
      <c r="B53" s="12"/>
      <c r="C53" s="12"/>
      <c r="D53" s="12"/>
      <c r="E53" s="12"/>
      <c r="F53" s="12"/>
      <c r="G53" s="12"/>
      <c r="H53" s="12"/>
      <c r="I53" s="12"/>
      <c r="J53" s="12"/>
      <c r="K53" s="1"/>
    </row>
    <row r="54" spans="1:11" ht="32.1" customHeight="1">
      <c r="A54" s="1"/>
      <c r="B54" s="12"/>
      <c r="C54" s="12"/>
      <c r="D54" s="12"/>
      <c r="E54" s="12"/>
      <c r="F54" s="12"/>
      <c r="G54" s="12"/>
      <c r="H54" s="12"/>
      <c r="I54" s="12"/>
      <c r="J54" s="12"/>
      <c r="K54" s="1"/>
    </row>
    <row r="55" spans="1:11" ht="32.1" customHeight="1">
      <c r="A55" s="1"/>
      <c r="B55" s="12"/>
      <c r="C55" s="12"/>
      <c r="D55" s="12"/>
      <c r="E55" s="12"/>
      <c r="F55" s="12"/>
      <c r="G55" s="12"/>
      <c r="H55" s="12"/>
      <c r="I55" s="12"/>
      <c r="J55" s="12"/>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opLeftCell="A64" workbookViewId="0">
      <selection activeCell="B69" sqref="B69"/>
    </sheetView>
  </sheetViews>
  <sheetFormatPr baseColWidth="10" defaultColWidth="8.875" defaultRowHeight="14.25"/>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1" t="s">
        <v>103</v>
      </c>
      <c r="C2" s="21"/>
      <c r="D2" s="21"/>
      <c r="E2" s="21"/>
      <c r="F2" s="21"/>
      <c r="G2" s="21"/>
      <c r="H2" s="21"/>
      <c r="I2" s="21"/>
      <c r="J2" s="21"/>
      <c r="K2" s="1"/>
    </row>
    <row r="3" spans="1:11" ht="30.75" customHeight="1">
      <c r="A3" s="1"/>
      <c r="B3" s="22" t="s">
        <v>104</v>
      </c>
      <c r="C3" s="22"/>
      <c r="D3" s="22"/>
      <c r="E3" s="22"/>
      <c r="F3" s="22"/>
      <c r="G3" s="22"/>
      <c r="H3" s="22"/>
      <c r="I3" s="22"/>
      <c r="J3" s="22"/>
      <c r="K3" s="1"/>
    </row>
    <row r="4" spans="1:11" ht="6.75" customHeight="1">
      <c r="A4" s="1"/>
      <c r="B4" s="23"/>
      <c r="C4" s="23"/>
      <c r="D4" s="23"/>
      <c r="E4" s="23"/>
      <c r="F4" s="23"/>
      <c r="G4" s="23"/>
      <c r="H4" s="23"/>
      <c r="I4" s="23"/>
      <c r="J4" s="23"/>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8" t="s">
        <v>105</v>
      </c>
      <c r="C7" s="18"/>
      <c r="D7" s="18"/>
      <c r="E7" s="18"/>
      <c r="F7" s="18"/>
      <c r="G7" s="18"/>
      <c r="H7" s="18"/>
      <c r="I7" s="18"/>
      <c r="J7" s="18"/>
      <c r="K7" s="1"/>
    </row>
    <row r="8" spans="1:11" ht="88.5" customHeight="1">
      <c r="A8" s="1"/>
      <c r="B8" s="10" t="s">
        <v>106</v>
      </c>
      <c r="C8" s="35" t="s">
        <v>136</v>
      </c>
      <c r="D8" s="35"/>
      <c r="E8" s="35"/>
      <c r="F8" s="10" t="s">
        <v>107</v>
      </c>
      <c r="G8" s="11"/>
      <c r="H8" s="11">
        <v>878387.4</v>
      </c>
      <c r="I8" s="11"/>
      <c r="J8" s="11"/>
      <c r="K8" s="1"/>
    </row>
    <row r="9" spans="1:11">
      <c r="A9" s="1"/>
      <c r="B9" s="1"/>
      <c r="C9" s="1"/>
      <c r="D9" s="1"/>
      <c r="E9" s="1"/>
      <c r="F9" s="1"/>
      <c r="G9" s="1"/>
      <c r="H9" s="1"/>
      <c r="I9" s="1"/>
      <c r="J9" s="1"/>
      <c r="K9" s="1"/>
    </row>
    <row r="10" spans="1:11" ht="25.5">
      <c r="A10" s="1"/>
      <c r="B10" s="10" t="s">
        <v>108</v>
      </c>
      <c r="C10" s="3" t="s">
        <v>137</v>
      </c>
      <c r="D10" s="3"/>
      <c r="E10" s="3"/>
      <c r="F10" s="10" t="s">
        <v>109</v>
      </c>
      <c r="G10" s="35" t="s">
        <v>110</v>
      </c>
      <c r="H10" s="35"/>
      <c r="I10" s="35"/>
      <c r="J10" s="3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8" t="s">
        <v>111</v>
      </c>
      <c r="C13" s="18"/>
      <c r="D13" s="18"/>
      <c r="E13" s="18"/>
      <c r="F13" s="18"/>
      <c r="G13" s="18"/>
      <c r="H13" s="18"/>
      <c r="I13" s="18"/>
      <c r="J13" s="18"/>
      <c r="K13" s="1"/>
    </row>
    <row r="14" spans="1:11" ht="37.35" customHeight="1">
      <c r="A14" s="1"/>
      <c r="B14" s="4" t="s">
        <v>26</v>
      </c>
      <c r="C14" s="4" t="s">
        <v>112</v>
      </c>
      <c r="D14" s="4" t="s">
        <v>113</v>
      </c>
      <c r="E14" s="4" t="s">
        <v>114</v>
      </c>
      <c r="F14" s="4" t="s">
        <v>115</v>
      </c>
      <c r="G14" s="1"/>
      <c r="H14" s="1"/>
      <c r="I14" s="1"/>
      <c r="J14" s="1"/>
      <c r="K14" s="1"/>
    </row>
    <row r="15" spans="1:11">
      <c r="A15" s="1"/>
      <c r="B15" s="5" t="s">
        <v>116</v>
      </c>
      <c r="C15" s="11">
        <v>78597.5</v>
      </c>
      <c r="D15" s="11">
        <v>84835.199999999997</v>
      </c>
      <c r="E15" s="8">
        <f>D15/C15-1</f>
        <v>7.9362575145519809E-2</v>
      </c>
      <c r="F15" s="8">
        <f>D15/$H$8</f>
        <v>9.6580620350428512E-2</v>
      </c>
      <c r="G15" s="1"/>
      <c r="H15" s="1"/>
      <c r="I15" s="1"/>
      <c r="J15" s="1"/>
      <c r="K15" s="1"/>
    </row>
    <row r="16" spans="1:11">
      <c r="A16" s="1"/>
      <c r="B16" s="5" t="s">
        <v>32</v>
      </c>
      <c r="C16" s="11">
        <v>114464.1</v>
      </c>
      <c r="D16" s="11">
        <v>118927</v>
      </c>
      <c r="E16" s="8">
        <f t="shared" ref="E16:E19" si="0">D16/C16-1</f>
        <v>3.8989517237282278E-2</v>
      </c>
      <c r="F16" s="8">
        <f t="shared" ref="F16:F19" si="1">D16/$H$8</f>
        <v>0.13539242480026467</v>
      </c>
      <c r="G16" s="1"/>
      <c r="H16" s="1"/>
      <c r="I16" s="1"/>
      <c r="J16" s="1"/>
      <c r="K16" s="1"/>
    </row>
    <row r="17" spans="1:11">
      <c r="A17" s="1"/>
      <c r="B17" s="5" t="s">
        <v>33</v>
      </c>
      <c r="C17" s="11">
        <v>45286.5</v>
      </c>
      <c r="D17" s="11">
        <v>47780.2</v>
      </c>
      <c r="E17" s="8">
        <f t="shared" si="0"/>
        <v>5.5064975213363843E-2</v>
      </c>
      <c r="F17" s="8">
        <f t="shared" si="1"/>
        <v>5.4395361317796674E-2</v>
      </c>
      <c r="G17" s="1"/>
      <c r="H17" s="1"/>
      <c r="I17" s="1"/>
      <c r="J17" s="1"/>
      <c r="K17" s="1"/>
    </row>
    <row r="18" spans="1:11">
      <c r="A18" s="1"/>
      <c r="B18" s="5" t="s">
        <v>117</v>
      </c>
      <c r="C18" s="11">
        <v>169370.4</v>
      </c>
      <c r="D18" s="11">
        <v>186914.9</v>
      </c>
      <c r="E18" s="8">
        <f t="shared" si="0"/>
        <v>0.10358657711146702</v>
      </c>
      <c r="F18" s="8">
        <f t="shared" si="1"/>
        <v>0.21279323906513228</v>
      </c>
      <c r="G18" s="1"/>
      <c r="H18" s="1"/>
      <c r="I18" s="1"/>
      <c r="J18" s="1"/>
      <c r="K18" s="1"/>
    </row>
    <row r="19" spans="1:11">
      <c r="A19" s="1"/>
      <c r="B19" s="5" t="s">
        <v>118</v>
      </c>
      <c r="C19" s="11">
        <v>34720.9</v>
      </c>
      <c r="D19" s="11">
        <v>39082.199999999997</v>
      </c>
      <c r="E19" s="8">
        <f t="shared" si="0"/>
        <v>0.12561022323730064</v>
      </c>
      <c r="F19" s="8">
        <f t="shared" si="1"/>
        <v>4.4493124559846824E-2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3" t="s">
        <v>119</v>
      </c>
      <c r="C22" s="13"/>
      <c r="D22" s="13"/>
      <c r="E22" s="13"/>
      <c r="F22" s="13"/>
      <c r="G22" s="13"/>
      <c r="H22" s="13"/>
      <c r="I22" s="13"/>
      <c r="J22" s="13"/>
      <c r="K22" s="1"/>
    </row>
    <row r="23" spans="1:11">
      <c r="A23" s="1"/>
      <c r="B23" s="14" t="s">
        <v>120</v>
      </c>
      <c r="C23" s="14"/>
      <c r="D23" s="14"/>
      <c r="E23" s="14"/>
      <c r="F23" s="14"/>
      <c r="G23" s="14"/>
      <c r="H23" s="14"/>
      <c r="I23" s="14"/>
      <c r="J23" s="14"/>
      <c r="K23" s="1"/>
    </row>
    <row r="24" spans="1:11">
      <c r="A24" s="1"/>
      <c r="B24" s="14"/>
      <c r="C24" s="14"/>
      <c r="D24" s="14"/>
      <c r="E24" s="14"/>
      <c r="F24" s="14"/>
      <c r="G24" s="14"/>
      <c r="H24" s="14"/>
      <c r="I24" s="14"/>
      <c r="J24" s="14"/>
      <c r="K24" s="1"/>
    </row>
    <row r="25" spans="1:11">
      <c r="A25" s="1"/>
      <c r="B25" s="14"/>
      <c r="C25" s="14"/>
      <c r="D25" s="14"/>
      <c r="E25" s="14"/>
      <c r="F25" s="14"/>
      <c r="G25" s="14"/>
      <c r="H25" s="14"/>
      <c r="I25" s="14"/>
      <c r="J25" s="14"/>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8" t="s">
        <v>121</v>
      </c>
      <c r="C28" s="18"/>
      <c r="D28" s="18"/>
      <c r="E28" s="18"/>
      <c r="F28" s="18"/>
      <c r="G28" s="18"/>
      <c r="H28" s="18"/>
      <c r="I28" s="18"/>
      <c r="J28" s="18"/>
      <c r="K28" s="1"/>
    </row>
    <row r="29" spans="1:11" ht="15">
      <c r="A29" s="1"/>
      <c r="B29" s="20" t="s">
        <v>122</v>
      </c>
      <c r="C29" s="20"/>
      <c r="D29" s="20"/>
      <c r="E29" s="20"/>
      <c r="F29" s="34" t="str">
        <f>INDEX($B$15:$B$19,MATCH(MAX($F$15:$F$19),$F$15:$F$19,0))</f>
        <v>Comercio y reparación de vehículos</v>
      </c>
      <c r="G29" s="34"/>
      <c r="H29" s="34"/>
      <c r="I29" s="34"/>
      <c r="J29" s="34"/>
      <c r="K29" s="1"/>
    </row>
    <row r="30" spans="1:11">
      <c r="A30" s="1"/>
      <c r="B30" s="1"/>
      <c r="C30" s="1"/>
      <c r="D30" s="1"/>
      <c r="E30" s="1"/>
      <c r="F30" s="1"/>
      <c r="G30" s="1"/>
      <c r="H30" s="1"/>
      <c r="I30" s="1"/>
      <c r="J30" s="1"/>
      <c r="K30" s="1"/>
    </row>
    <row r="31" spans="1:11" ht="15">
      <c r="A31" s="1"/>
      <c r="B31" s="20" t="s">
        <v>123</v>
      </c>
      <c r="C31" s="20"/>
      <c r="D31" s="20"/>
      <c r="E31" s="20"/>
      <c r="F31" s="34" t="str">
        <f>INDEX($B$15:$B$19,MATCH(MAX($E$15:$E$19),$E$15:$E$19,0))</f>
        <v>Actividad seleccionada por el estudiante</v>
      </c>
      <c r="G31" s="34"/>
      <c r="H31" s="34"/>
      <c r="I31" s="34"/>
      <c r="J31" s="34"/>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15" t="s">
        <v>124</v>
      </c>
      <c r="C52" s="15"/>
      <c r="D52" s="15"/>
      <c r="E52" s="15"/>
      <c r="F52" s="15"/>
      <c r="G52" s="15"/>
      <c r="H52" s="15"/>
      <c r="I52" s="15"/>
      <c r="J52" s="15"/>
      <c r="K52" s="1"/>
    </row>
    <row r="53" spans="1:11" ht="32.1" customHeight="1">
      <c r="A53" s="1"/>
      <c r="B53" s="12" t="s">
        <v>138</v>
      </c>
      <c r="C53" s="12"/>
      <c r="D53" s="12"/>
      <c r="E53" s="12"/>
      <c r="F53" s="12"/>
      <c r="G53" s="12"/>
      <c r="H53" s="12"/>
      <c r="I53" s="12"/>
      <c r="J53" s="12"/>
      <c r="K53" s="1"/>
    </row>
    <row r="54" spans="1:11" ht="32.1" customHeight="1">
      <c r="A54" s="1"/>
      <c r="B54" s="12"/>
      <c r="C54" s="12"/>
      <c r="D54" s="12"/>
      <c r="E54" s="12"/>
      <c r="F54" s="12"/>
      <c r="G54" s="12"/>
      <c r="H54" s="12"/>
      <c r="I54" s="12"/>
      <c r="J54" s="12"/>
      <c r="K54" s="1"/>
    </row>
    <row r="55" spans="1:11" ht="32.1" customHeight="1">
      <c r="A55" s="1"/>
      <c r="B55" s="12"/>
      <c r="C55" s="12"/>
      <c r="D55" s="12"/>
      <c r="E55" s="12"/>
      <c r="F55" s="12"/>
      <c r="G55" s="12"/>
      <c r="H55" s="12"/>
      <c r="I55" s="12"/>
      <c r="J55" s="12"/>
      <c r="K55" s="1"/>
    </row>
    <row r="56" spans="1:11" ht="32.1" customHeight="1">
      <c r="A56" s="1"/>
      <c r="B56" s="12"/>
      <c r="C56" s="12"/>
      <c r="D56" s="12"/>
      <c r="E56" s="12"/>
      <c r="F56" s="12"/>
      <c r="G56" s="12"/>
      <c r="H56" s="12"/>
      <c r="I56" s="12"/>
      <c r="J56" s="12"/>
      <c r="K56" s="1"/>
    </row>
    <row r="57" spans="1:11">
      <c r="A57" s="1"/>
      <c r="B57" s="1"/>
      <c r="C57" s="1"/>
      <c r="D57" s="1"/>
      <c r="E57" s="1"/>
      <c r="F57" s="1"/>
      <c r="G57" s="1"/>
      <c r="H57" s="1"/>
      <c r="I57" s="1"/>
      <c r="J57" s="1"/>
      <c r="K57" s="1"/>
    </row>
    <row r="58" spans="1:11" ht="41.25" customHeight="1">
      <c r="A58" s="1"/>
      <c r="B58" s="15" t="s">
        <v>125</v>
      </c>
      <c r="C58" s="15"/>
      <c r="D58" s="15"/>
      <c r="E58" s="15"/>
      <c r="F58" s="15"/>
      <c r="G58" s="15"/>
      <c r="H58" s="15"/>
      <c r="I58" s="15"/>
      <c r="J58" s="15"/>
      <c r="K58" s="1"/>
    </row>
    <row r="59" spans="1:11" ht="32.1" customHeight="1">
      <c r="A59" s="1"/>
      <c r="B59" s="12" t="s">
        <v>139</v>
      </c>
      <c r="C59" s="12"/>
      <c r="D59" s="12"/>
      <c r="E59" s="12"/>
      <c r="F59" s="12"/>
      <c r="G59" s="12"/>
      <c r="H59" s="12"/>
      <c r="I59" s="12"/>
      <c r="J59" s="12"/>
      <c r="K59" s="1"/>
    </row>
    <row r="60" spans="1:11" ht="32.1" customHeight="1">
      <c r="A60" s="1"/>
      <c r="B60" s="12"/>
      <c r="C60" s="12"/>
      <c r="D60" s="12"/>
      <c r="E60" s="12"/>
      <c r="F60" s="12"/>
      <c r="G60" s="12"/>
      <c r="H60" s="12"/>
      <c r="I60" s="12"/>
      <c r="J60" s="12"/>
      <c r="K60" s="1"/>
    </row>
    <row r="61" spans="1:11" ht="32.1" customHeight="1">
      <c r="A61" s="1"/>
      <c r="B61" s="12"/>
      <c r="C61" s="12"/>
      <c r="D61" s="12"/>
      <c r="E61" s="12"/>
      <c r="F61" s="12"/>
      <c r="G61" s="12"/>
      <c r="H61" s="12"/>
      <c r="I61" s="12"/>
      <c r="J61" s="12"/>
      <c r="K61" s="1"/>
    </row>
    <row r="62" spans="1:11" ht="32.1" customHeight="1">
      <c r="A62" s="1"/>
      <c r="B62" s="12"/>
      <c r="C62" s="12"/>
      <c r="D62" s="12"/>
      <c r="E62" s="12"/>
      <c r="F62" s="12"/>
      <c r="G62" s="12"/>
      <c r="H62" s="12"/>
      <c r="I62" s="12"/>
      <c r="J62" s="12"/>
      <c r="K62" s="1"/>
    </row>
    <row r="63" spans="1:11">
      <c r="A63" s="1"/>
      <c r="B63" s="1"/>
      <c r="C63" s="1"/>
      <c r="D63" s="1"/>
      <c r="E63" s="1"/>
      <c r="F63" s="1"/>
      <c r="G63" s="1"/>
      <c r="H63" s="1"/>
      <c r="I63" s="1"/>
      <c r="J63" s="1"/>
      <c r="K63" s="1"/>
    </row>
    <row r="64" spans="1:11" ht="41.25" customHeight="1">
      <c r="A64" s="1"/>
      <c r="B64" s="15" t="s">
        <v>126</v>
      </c>
      <c r="C64" s="15"/>
      <c r="D64" s="15"/>
      <c r="E64" s="15"/>
      <c r="F64" s="15"/>
      <c r="G64" s="15"/>
      <c r="H64" s="15"/>
      <c r="I64" s="15"/>
      <c r="J64" s="15"/>
      <c r="K64" s="1"/>
    </row>
    <row r="65" spans="1:11" ht="32.1" customHeight="1">
      <c r="A65" s="1"/>
      <c r="B65" s="12" t="s">
        <v>140</v>
      </c>
      <c r="C65" s="12"/>
      <c r="D65" s="12"/>
      <c r="E65" s="12"/>
      <c r="F65" s="12"/>
      <c r="G65" s="12"/>
      <c r="H65" s="12"/>
      <c r="I65" s="12"/>
      <c r="J65" s="12"/>
      <c r="K65" s="1"/>
    </row>
    <row r="66" spans="1:11" ht="32.1" customHeight="1">
      <c r="A66" s="1"/>
      <c r="B66" s="12"/>
      <c r="C66" s="12"/>
      <c r="D66" s="12"/>
      <c r="E66" s="12"/>
      <c r="F66" s="12"/>
      <c r="G66" s="12"/>
      <c r="H66" s="12"/>
      <c r="I66" s="12"/>
      <c r="J66" s="12"/>
      <c r="K66" s="1"/>
    </row>
    <row r="67" spans="1:11" ht="32.1" customHeight="1">
      <c r="A67" s="1"/>
      <c r="B67" s="12"/>
      <c r="C67" s="12"/>
      <c r="D67" s="12"/>
      <c r="E67" s="12"/>
      <c r="F67" s="12"/>
      <c r="G67" s="12"/>
      <c r="H67" s="12"/>
      <c r="I67" s="12"/>
      <c r="J67" s="12"/>
      <c r="K67" s="1"/>
    </row>
    <row r="68" spans="1:11" ht="32.1" customHeight="1">
      <c r="A68" s="1"/>
      <c r="B68" s="12"/>
      <c r="C68" s="12"/>
      <c r="D68" s="12"/>
      <c r="E68" s="12"/>
      <c r="F68" s="12"/>
      <c r="G68" s="12"/>
      <c r="H68" s="12"/>
      <c r="I68" s="12"/>
      <c r="J68" s="12"/>
      <c r="K68" s="1"/>
    </row>
  </sheetData>
  <mergeCells count="20">
    <mergeCell ref="B2:J2"/>
    <mergeCell ref="B3:J3"/>
    <mergeCell ref="B4:J4"/>
    <mergeCell ref="B7:J7"/>
    <mergeCell ref="G10:J10"/>
    <mergeCell ref="C8:E8"/>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Naidely Maeda</dc:creator>
  <cp:lastModifiedBy>Luis Muñoz</cp:lastModifiedBy>
  <dcterms:created xsi:type="dcterms:W3CDTF">2026-08-29T20:58:12Z</dcterms:created>
  <dcterms:modified xsi:type="dcterms:W3CDTF">2026-08-29T20:58:12Z</dcterms:modified>
</cp:coreProperties>
</file>