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Jorge\Downloads\"/>
    </mc:Choice>
  </mc:AlternateContent>
  <xr:revisionPtr revIDLastSave="0" documentId="13_ncr:1_{88C9F198-394C-4EF2-8380-621FFBF3F5CD}" xr6:coauthVersionLast="36" xr6:coauthVersionMax="47" xr10:uidLastSave="{00000000-0000-0000-0000-000000000000}"/>
  <bookViews>
    <workbookView xWindow="0" yWindow="660" windowWidth="30240" windowHeight="18984" activeTab="5" xr2:uid="{00000000-000D-0000-FFFF-FFFF00000000}"/>
  </bookViews>
  <sheets>
    <sheet name="Portada" sheetId="1" r:id="rId1"/>
    <sheet name="E1 Producción" sheetId="2" r:id="rId2"/>
    <sheet name="E2 Gasto" sheetId="3" r:id="rId3"/>
    <sheet name="E3 Ingreso" sheetId="4" r:id="rId4"/>
    <sheet name="E4 Tres enfoques" sheetId="5" r:id="rId5"/>
    <sheet name="E5 Guatemala" sheetId="6" r:id="rId6"/>
  </sheets>
  <calcPr calcId="179021"/>
</workbook>
</file>

<file path=xl/calcChain.xml><?xml version="1.0" encoding="utf-8"?>
<calcChain xmlns="http://schemas.openxmlformats.org/spreadsheetml/2006/main">
  <c r="F19" i="6" l="1"/>
  <c r="E19" i="6"/>
  <c r="F18" i="6"/>
  <c r="E18" i="6"/>
  <c r="F17" i="6"/>
  <c r="E17" i="6"/>
  <c r="F16" i="6"/>
  <c r="E16" i="6"/>
  <c r="F15" i="6"/>
  <c r="E15" i="6"/>
  <c r="E24" i="5"/>
  <c r="B24" i="5"/>
  <c r="F16" i="5"/>
  <c r="C19" i="5"/>
  <c r="E17" i="4"/>
  <c r="E19" i="4" s="1"/>
  <c r="E22" i="3"/>
  <c r="E20" i="3"/>
  <c r="E18" i="3"/>
  <c r="E24" i="3" s="1"/>
  <c r="E23" i="2"/>
  <c r="D13" i="2"/>
  <c r="C13" i="2"/>
  <c r="E12" i="2"/>
  <c r="E11" i="2"/>
  <c r="E10" i="2"/>
  <c r="E9" i="2"/>
  <c r="E13" i="2" s="1"/>
  <c r="F10" i="2" s="1"/>
  <c r="D13" i="4" l="1"/>
  <c r="D11" i="4"/>
  <c r="D12" i="4"/>
  <c r="D10" i="4"/>
  <c r="D9" i="4"/>
  <c r="E21" i="2"/>
  <c r="E25" i="2" s="1"/>
  <c r="F11" i="2"/>
  <c r="F12" i="2"/>
  <c r="F9" i="2"/>
  <c r="F13" i="2" l="1"/>
</calcChain>
</file>

<file path=xl/sharedStrings.xml><?xml version="1.0" encoding="utf-8"?>
<sst xmlns="http://schemas.openxmlformats.org/spreadsheetml/2006/main" count="175" uniqueCount="158">
  <si>
    <t>TAREA DE APLICACIÓN</t>
  </si>
  <si>
    <t>MEDICIÓN DEL PRODUCTO INTERNO BRUTO</t>
  </si>
  <si>
    <t>Producción · Gasto · Ingreso · Lectura del PIB de Guatemala
Formato de trabajo para desarrollar procedimientos, resultados e interpretaciones.</t>
  </si>
  <si>
    <t>DATOS DEL ESTUDIANTE</t>
  </si>
  <si>
    <t>Nombre</t>
  </si>
  <si>
    <t>Carné</t>
  </si>
  <si>
    <t>Fecha</t>
  </si>
  <si>
    <t>Sección / grupo</t>
  </si>
  <si>
    <t>CÓMO UTILIZAR ESTE ARCHIVO</t>
  </si>
  <si>
    <t>1. Use las celdas crema para desarrollar cálculos, completar resultados o ingresar datos del Banco de Guatemala.</t>
  </si>
  <si>
    <t>2. Mantenga un procedimiento legible. La tarea evalúa cálculo e interpretación, no únicamente la respuesta final.</t>
  </si>
  <si>
    <t>3. Los bloques azul claro son espacios para redactar interpretación económica y reflexión.</t>
  </si>
  <si>
    <t>4. En el ejercicio 5 registre la fuente exacta, la fecha de consulta y el PIB total utilizado como denominador.</t>
  </si>
  <si>
    <t>RECORRIDO DE LA TAREA</t>
  </si>
  <si>
    <t>01
PRODUCCIÓN
VAB y estructura</t>
  </si>
  <si>
    <t>02
GASTO
C + I + G + (X − M)</t>
  </si>
  <si>
    <t>03
INGRESO
Distribución primaria</t>
  </si>
  <si>
    <t>04
TRES ENFOQUES
Identidades y variables faltantes</t>
  </si>
  <si>
    <t>05
GUATEMALA
Estructura productiva real</t>
  </si>
  <si>
    <t>LEYENDA VISUAL</t>
  </si>
  <si>
    <t>COMPLETAR
por el estudiante</t>
  </si>
  <si>
    <t>INTERPRETAR
comentario / reflexión</t>
  </si>
  <si>
    <t>RECORDAR
fórmula o idea conceptual</t>
  </si>
  <si>
    <t>01  ·  PIB POR EL ENFOQUE DE LA PRODUCCIÓN</t>
  </si>
  <si>
    <t>Calcule el VAB por actividad, el VAB total, los impuestos netos y el PIB.</t>
  </si>
  <si>
    <t>DATOS Y CÁLCULOS</t>
  </si>
  <si>
    <t>Actividad económica</t>
  </si>
  <si>
    <t>VBP</t>
  </si>
  <si>
    <t>Consumo intermedio</t>
  </si>
  <si>
    <t>VAB</t>
  </si>
  <si>
    <t>% del VAB total</t>
  </si>
  <si>
    <t>Agricultura</t>
  </si>
  <si>
    <t>Industrias manufactureras</t>
  </si>
  <si>
    <t>Construcción</t>
  </si>
  <si>
    <t>Comercio y otros servicios</t>
  </si>
  <si>
    <t>DATOS ADICIONALES</t>
  </si>
  <si>
    <t>Impuestos sobre los productos</t>
  </si>
  <si>
    <t>Subvenciones sobre los productos</t>
  </si>
  <si>
    <t>RESULTADOS DE CIERRE</t>
  </si>
  <si>
    <t>VAB total</t>
  </si>
  <si>
    <t>Impuestos netos sobre los productos</t>
  </si>
  <si>
    <t>PIB por el enfoque de la producción</t>
  </si>
  <si>
    <t>PROCEDIMIENTO</t>
  </si>
  <si>
    <t>RECORDATORIO CONCEPTUAL</t>
  </si>
  <si>
    <t>VABᵢ = Producciónᵢ − Consumo intermedioᵢ
PIB = Σ VABᵢ + impuestos netos sobre los productos</t>
  </si>
  <si>
    <t>Interpretación (máximo cinco líneas): ¿por qué sería incorrecto sumar directamente el VBP de las cuatro actividades? ¿Cuál actividad genera la mayor proporción del valor agregado?</t>
  </si>
  <si>
    <t>02  ·  PIB POR EL ENFOQUE DEL GASTO</t>
  </si>
  <si>
    <t>Determine inversión agregada, exportaciones netas, PIB y el efecto de un cambio en el consumo.</t>
  </si>
  <si>
    <t>COMPONENTES DEL GASTO</t>
  </si>
  <si>
    <t>Componente</t>
  </si>
  <si>
    <t>Millones de Q</t>
  </si>
  <si>
    <t>Consumo final de los hogares</t>
  </si>
  <si>
    <t>Gasto de consumo final del gobierno</t>
  </si>
  <si>
    <t>Formación bruta de capital fijo</t>
  </si>
  <si>
    <t>Variación de existencias</t>
  </si>
  <si>
    <t>Exportaciones de bienes y servicios</t>
  </si>
  <si>
    <t>Importaciones de bienes y servicios</t>
  </si>
  <si>
    <t>RESULTADOS</t>
  </si>
  <si>
    <t>Inversión agregada (I)</t>
  </si>
  <si>
    <t>Exportaciones netas (X − M)</t>
  </si>
  <si>
    <t>PIB por el enfoque del gasto</t>
  </si>
  <si>
    <t>Nuevo PIB si C aumenta Q250 millones</t>
  </si>
  <si>
    <t>RECORDATORIO</t>
  </si>
  <si>
    <t>I = FBCF + ΔE       |       PIB = C + I + G + (X − M)</t>
  </si>
  <si>
    <t>Interpretación: explique (a) por qué las importaciones se restan en la identidad del gasto y (b) qué significa económicamente una variación de existencias negativa.</t>
  </si>
  <si>
    <t>03  ·  PIB POR EL ENFOQUE DEL INGRESO</t>
  </si>
  <si>
    <t>Calcule impuestos netos, PIB y la participación de los principales componentes del ingreso.</t>
  </si>
  <si>
    <t>COMPONENTES DEL INGRESO</t>
  </si>
  <si>
    <t>Componente del ingreso</t>
  </si>
  <si>
    <t>Participación en el PIB</t>
  </si>
  <si>
    <t>Remuneración de asalariados</t>
  </si>
  <si>
    <t>Excedente bruto de explotación</t>
  </si>
  <si>
    <t>Ingreso mixto bruto</t>
  </si>
  <si>
    <t>Impuestos sobre la producción y las importaciones</t>
  </si>
  <si>
    <t>Subvenciones</t>
  </si>
  <si>
    <t>Impuestos netos de subvenciones</t>
  </si>
  <si>
    <t>PIB por el enfoque del ingreso</t>
  </si>
  <si>
    <t>PIB = RA + EBE + IMB + impuestos netos
Participación = componente / PIB</t>
  </si>
  <si>
    <t>Interpretación: ¿qué representa el ingreso mixto y por qué puede ser particularmente relevante en economías con una presencia importante de trabajadores por cuenta propia y pequeños negocios familiares?</t>
  </si>
  <si>
    <t>04  ·  UNA ECONOMÍA, TRES ENFOQUES</t>
  </si>
  <si>
    <t>Recupere las variables faltantes y compruebe que producción, gasto e ingreso describen el mismo PIB.</t>
  </si>
  <si>
    <t>PIB CONOCIDO POR PRODUCCIÓN</t>
  </si>
  <si>
    <t>PIB por producción</t>
  </si>
  <si>
    <t>Q 9,000 millones</t>
  </si>
  <si>
    <t>ENFOQUE DEL GASTO</t>
  </si>
  <si>
    <t>ENFOQUE DEL INGRESO</t>
  </si>
  <si>
    <t>Consumo de los hogares</t>
  </si>
  <si>
    <t>Inversión</t>
  </si>
  <si>
    <t>Gasto del gobierno</t>
  </si>
  <si>
    <t>Ingreso mixto</t>
  </si>
  <si>
    <t>Exportaciones</t>
  </si>
  <si>
    <t>Impuestos netos</t>
  </si>
  <si>
    <t>Importaciones</t>
  </si>
  <si>
    <t>VARIABLES A RECUPERAR</t>
  </si>
  <si>
    <t>Importaciones (M)</t>
  </si>
  <si>
    <t>Excedente bruto de explotación (EBE)</t>
  </si>
  <si>
    <t>Verificación de identidad</t>
  </si>
  <si>
    <t>PIB producción = PIB gasto = PIB ingreso</t>
  </si>
  <si>
    <t>IDEA CENTRAL</t>
  </si>
  <si>
    <t>PIB₍producción₎ = PIB₍gasto₎ = PIB₍ingreso₎</t>
  </si>
  <si>
    <t>Explique por qué esta igualdad conceptual no implica que los tres enfoques utilicen exactamente las mismas fuentes estadísticas.</t>
  </si>
  <si>
    <t>Reflexión: si en la práctica las estimaciones de distintas fuentes presentan discrepancias estadísticas, ¿significa necesariamente que alguno de los tres enfoques está conceptualmente equivocado? Fundamente.</t>
  </si>
  <si>
    <t>05  ·  LECTURA DEL PIB DE GUATEMALA POR ACTIVIDAD ECONÓMICA</t>
  </si>
  <si>
    <t>Use información oficial del Banco de Guatemala para describir peso económico y variación reciente.</t>
  </si>
  <si>
    <t>TRAZABILIDAD DE LA INFORMACIÓN</t>
  </si>
  <si>
    <t>Nombre exacto del cuadro</t>
  </si>
  <si>
    <t>PIB total 2024 a precios corrientes</t>
  </si>
  <si>
    <t>Fecha de consulta</t>
  </si>
  <si>
    <t>URL / ruta de consulta</t>
  </si>
  <si>
    <t>ACTIVIDADES SELECCIONADAS</t>
  </si>
  <si>
    <t>VAB 2023</t>
  </si>
  <si>
    <t>VAB 2024</t>
  </si>
  <si>
    <t>Variación del valor (%)</t>
  </si>
  <si>
    <t>Participación PIB 2024 (%)</t>
  </si>
  <si>
    <t>Agricultura, ganadería, silvicultura y pesca</t>
  </si>
  <si>
    <t>Comercio y reparación de vehículos</t>
  </si>
  <si>
    <t>FÓRMULAS A UTILIZAR</t>
  </si>
  <si>
    <t>Variaciónᵢ = (VABᵢ,2024 / VABᵢ,2023 − 1) × 100
Participaciónᵢ = (VABᵢ,2024 / PIB₂₀₂₄) × 100
Use valores a precios corrientes para calcular participaciones.</t>
  </si>
  <si>
    <t>LECTURA DE LOS RESULTADOS</t>
  </si>
  <si>
    <t>Actividad con mayor participación dentro del PIB:</t>
  </si>
  <si>
    <t>Actividad con mayor variación entre 2023 y 2024:</t>
  </si>
  <si>
    <t>1. ¿La actividad con mayor participación en el PIB es necesariamente la que presenta la mayor variación? Explique la diferencia entre peso económico y dinamismo.</t>
  </si>
  <si>
    <t>2. Compare dos actividades seleccionadas. ¿Qué diferencias observa en su importancia relativa y comportamiento reciente?</t>
  </si>
  <si>
    <t>3. Si el PIB total aumenta mientras una actividad disminuye, ¿existe contradicción? Además, ¿qué precaución debe tener al interpretar variaciones calculadas con valores corrientes?</t>
  </si>
  <si>
    <t>5. Entregue este archivo.</t>
  </si>
  <si>
    <t>TOTAL</t>
  </si>
  <si>
    <t>VAB por actividad:</t>
  </si>
  <si>
    <t>1650 - 620 =</t>
  </si>
  <si>
    <t>Industrias manufactureras:</t>
  </si>
  <si>
    <t>2900 - 1750 =</t>
  </si>
  <si>
    <t>Contrucción:</t>
  </si>
  <si>
    <t>1250 - 720 =</t>
  </si>
  <si>
    <t>2400 - 1050 =</t>
  </si>
  <si>
    <t>VAB total:</t>
  </si>
  <si>
    <t>1030 + 1150 + 520 + 1350 =</t>
  </si>
  <si>
    <t>I</t>
  </si>
  <si>
    <t xml:space="preserve">Impuestos netos sobre los productos: </t>
  </si>
  <si>
    <t>420 - 40 =</t>
  </si>
  <si>
    <t>PIB por el enfoque de la producción:</t>
  </si>
  <si>
    <t>4060 + 380 =</t>
  </si>
  <si>
    <t>Para un cáluco exacto, es incorrecto sumar directamente el valor bruto de producción de las cuatro actividades porque esto contaría varias veces los bienes y servicios utilizados como insumos en los procesos productivos. El VAB nos ayuda a evitar esta doble contabilización al restar el consumo intermedio del valor bruto de producción. En esta economía, comercio y otros servicios, es la actividad que genera la mayor proporción del valor agregado, con 33.25 % del VAB total, seguida por las industrias manufactureras con 28.33 %. Esto indica que, dentro de las cuatro actividades consideradas, los servicios y el comercio representan la mayor contribución al valor generado por la economía.</t>
  </si>
  <si>
    <t>Desarrolle aquí:
I = 1,700 + (−120)
I = 1,580 millones de Q                                                                                                                                                                                                                                       X − M = Exportaciones − Importaciones
X − M = 1,250 − 1,640
X − M = −390 millones de Q PIB = 5,100 + 1,150 + 1,580 + (−390)
PIB = 7,440 millones de Q PIB nuevo = 5,350 + 1,150 + 1,580 − 390
PIB nuevo = 7,690 millones de Q</t>
  </si>
  <si>
    <t>Las importaciones se restan porque representan bienes y servicios producidos en otros países que fueron incluidos en el gasto interno, pero no forman parte de la producción nacional. Una variación de existencias negativa señala que durante el período se vendieron más bienes de los que se produjeron, por lo que se utilizaron existencias acumuladas previamente.</t>
  </si>
  <si>
    <t>Impuestos netos de subvenciones:
620 − 110 = 510 millones de Q
PIB por el enfoque del ingreso:
PIB = 4,250 + 2,100 + 960 + 510
PIB = 7,820 millones de Q
Participación de la remuneración de asalariados:
(4,250 ÷ 7,820) × 100 = 54.35 %
Participación del excedente bruto de explotación:
(2,100 ÷ 7,820) × 100 = 26.85 %
Participación del ingreso mixto:
(960 ÷ 7,820) × 100 = 12.28 %</t>
  </si>
  <si>
    <t>El ingreso mixto representa los ingresos generados por las actividades realizadas por trabajadores por cuenta propia y pequeños negocios familiares, donde no es posible separar claramente la parte correspondiente al trabajo de la parte correspondiente al excedente de la actividad económica. En los resultados obtenidos, este componente asciende a Q960 millones, equivalentes al 12.28 % del PIB, lo que manifiesta su importancia dentro de la generación de ingresos de la economía. Su relevancia aumenta en economías con una presencia importante de trabajadores independientes y negocios familiares, ya que permite contabilizar los ingresos de estas actividades sin separar de forma artificial la remuneración del trabajo y el excedente generado por el negocio.</t>
  </si>
  <si>
    <r>
      <rPr>
        <b/>
        <sz val="10"/>
        <color rgb="FF0B2E4F"/>
        <rFont val="Carlito"/>
      </rPr>
      <t>Despeje de importaciones (M):</t>
    </r>
    <r>
      <rPr>
        <sz val="10"/>
        <color rgb="FF0B2E4F"/>
        <rFont val="Carlito"/>
      </rPr>
      <t xml:space="preserve">
9,000 = 5,200 + 1,800 + 1,500 + (1,100 − M)
9,000 = 9,600 − M
M = 9,600 − 9,000
M = 600 millones de Q
</t>
    </r>
    <r>
      <rPr>
        <b/>
        <sz val="10"/>
        <color rgb="FF0B2E4F"/>
        <rFont val="Carlito"/>
      </rPr>
      <t xml:space="preserve">Despeje del excedente bruto de explotación (EBE):
</t>
    </r>
    <r>
      <rPr>
        <sz val="10"/>
        <color rgb="FF0B2E4F"/>
        <rFont val="Carlito"/>
      </rPr>
      <t xml:space="preserve">9,000 = 4,300 + EBE + 1,100 + 500
9,000 = 5,900 + EBE
EBE = 9,000 − 5,900
EBE = 3,100 millones de Q
</t>
    </r>
    <r>
      <rPr>
        <b/>
        <sz val="10"/>
        <color rgb="FF0B2E4F"/>
        <rFont val="Carlito"/>
      </rPr>
      <t>Verificación de los tres enfoques:</t>
    </r>
    <r>
      <rPr>
        <sz val="10"/>
        <color rgb="FF0B2E4F"/>
        <rFont val="Carlito"/>
      </rPr>
      <t xml:space="preserve">
Producción: PIB = 9,000 millones de Q
Gasto: 5,200 + 1,800 + 1,500 + (1,100 − 600) = 9,000 millones de Q
Ingreso: 4,300 + 3,100 + 1,100 + 500 = 9,000 millones de Q
</t>
    </r>
    <r>
      <rPr>
        <b/>
        <sz val="10"/>
        <color rgb="FF0B2E4F"/>
        <rFont val="Carlito"/>
      </rPr>
      <t>PIB producción = PIB gasto = PIB ingreso = Q9,000 millones</t>
    </r>
  </si>
  <si>
    <t>La igualdad entre los tres enfoques es conceptual, porque los tres buscan medir el mismo proceso económico, pero cada uno lo observa desde una perspectiva diferente. El enfoque de la producción utiliza información sobre el valor agregado generado por las actividades económicas; el enfoque del gasto considera el consumo, la inversión, el gasto del gobierno y el comercio exterior; mientras que el enfoque del ingreso utiliza información sobre los ingresos generados en el proceso productivo. Por esta razón, cada enfoque puede construirse a partir de fuentes estadísticas diferentes, aunque conceptualmente los tres deben conducir al mismo valor del PIB.</t>
  </si>
  <si>
    <t>Jorge Anselmo Ixjotop Puac</t>
  </si>
  <si>
    <t>A</t>
  </si>
  <si>
    <t>No. Las discrepancias estadísticas no significan necesariamente que alguno de los tres enfoques esté conceptualmente equivocado. Los tres parten de perspectivas diferentes para medir el mismo proceso económico y utilizan fuentes de información distintas, por lo que en la práctica pueden existir diferencias en los datos recopilados, cobertura, períodos de medición o calidad de las fuentes.</t>
  </si>
  <si>
    <t xml:space="preserve">Producto Interno Bruto por el enfoque de la producción </t>
  </si>
  <si>
    <t>https://banguat.gob.gt/sites/default/files/banguat/Publica/PIB_Regional/7_Resultados_por_actividad_economica_en_departamentos.pdf</t>
  </si>
  <si>
    <t xml:space="preserve">Actividad seleccionada por el estudiante: Actividades financieras y de seguros </t>
  </si>
  <si>
    <t>Comercio y reparacion de vehículos</t>
  </si>
  <si>
    <t xml:space="preserve">Actividades financieras y de seguros </t>
  </si>
  <si>
    <t>No necesariamente. Los resultados muestran que Comercio y reparación de vehículos tiene la mayor participación en el PIB de 2024, con 21.60 %, por lo que representa el mayor peso económico entre las actividades seleccionadas. Sin embargo, la mayor variación entre 2023 y 2024 corresponde a Actividades financieras y de seguros, con 12.56 %. Esto demuestra que el peso económico se refiere a la importancia relativa que tiene una actividad dentro del PIB, mientras que el dinamismo refleja el ritmo de variación que presenta durante un período determinado.</t>
  </si>
  <si>
    <t>Comercio y reparación de vehículos y Actividades financieras y de seguros presentan diferencias importantes. El comercio tiene una participación de 21.60 % del PIB en 2024, mientras que las actividades financieras y de seguros representan 4.52 %, por lo que el comercio tiene un peso económico considerablemente mayor. Sin embargo, las actividades financieras y de seguros registraron una variación de 12.56 % entre 2023 y 2024, superior al 10.36 % observado en el comercio. Esto muestra que una actividad puede tener menor participación en el PIB y, al mismo tiempo, presentar un mayor dinamismo reciente.</t>
  </si>
  <si>
    <t>No existe contradicción, ya que el PIB representa el resultado conjunto de las diferentes actividades económicas y el crecimiento de unas puede compensar la disminución de otras. Por otra parte, las variaciones calculadas con valores corrientes deben interpretarse con precaución, porque reflejan cambios tanto en las cantidades producidas como en los precios. Por ello, un aumento porcentual del valor de una actividad no significa necesariamente que su producción real haya aumentado en la misma proporción.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</si>
</sst>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name val="Carlito"/>
    </font>
    <font>
      <b/>
      <sz val="23"/>
      <color rgb="FFFFFFFF"/>
      <name val="Carlito"/>
    </font>
    <font>
      <b/>
      <sz val="14"/>
      <color rgb="FFDCE7F0"/>
      <name val="Carlito"/>
    </font>
    <font>
      <b/>
      <sz val="14"/>
      <color rgb="FF164873"/>
      <name val="Carlito"/>
    </font>
    <font>
      <b/>
      <sz val="11"/>
      <color rgb="FFFFFFFF"/>
      <name val="Carlito"/>
    </font>
    <font>
      <b/>
      <sz val="10"/>
      <color rgb="FF0B2E4F"/>
      <name val="Carlito"/>
    </font>
    <font>
      <sz val="10"/>
      <color rgb="FF0B2E4F"/>
      <name val="Carlito"/>
    </font>
    <font>
      <sz val="10"/>
      <color rgb="FF4B5563"/>
      <name val="Carlito"/>
    </font>
    <font>
      <b/>
      <sz val="11"/>
      <color rgb="FF0B2E4F"/>
      <name val="Carlito"/>
    </font>
    <font>
      <b/>
      <sz val="10"/>
      <color rgb="FF164873"/>
      <name val="Carlito"/>
    </font>
    <font>
      <b/>
      <sz val="10"/>
      <color rgb="FF2F6B57"/>
      <name val="Carlito"/>
    </font>
    <font>
      <b/>
      <sz val="19"/>
      <color rgb="FFFFFFFF"/>
      <name val="Carlito"/>
    </font>
    <font>
      <sz val="10"/>
      <color rgb="FFDCE7F0"/>
      <name val="Carlito"/>
    </font>
    <font>
      <b/>
      <sz val="10"/>
      <color rgb="FFFFFFFF"/>
      <name val="Carlito"/>
    </font>
    <font>
      <b/>
      <sz val="12"/>
      <color rgb="FFF97316"/>
      <name val="Carlito"/>
    </font>
    <font>
      <b/>
      <sz val="11"/>
      <color rgb="FF2F6B57"/>
      <name val="Carlito"/>
    </font>
    <font>
      <b/>
      <sz val="13"/>
      <color rgb="FF2F6B57"/>
      <name val="Carlito"/>
    </font>
    <font>
      <b/>
      <sz val="18"/>
      <color rgb="FFF97316"/>
      <name val="Carlito"/>
    </font>
    <font>
      <b/>
      <sz val="11"/>
      <color rgb="FFF97316"/>
      <name val="Carlito"/>
    </font>
    <font>
      <sz val="11"/>
      <name val="Carlito"/>
    </font>
    <font>
      <sz val="11"/>
      <color rgb="FF4B5563"/>
      <name val="Carlito"/>
    </font>
    <font>
      <u/>
      <sz val="11"/>
      <color theme="10"/>
      <name val="Carlito"/>
    </font>
  </fonts>
  <fills count="11">
    <fill>
      <patternFill patternType="none"/>
    </fill>
    <fill>
      <patternFill patternType="gray125"/>
    </fill>
    <fill>
      <patternFill patternType="solid">
        <fgColor rgb="FFFFFFFF"/>
      </patternFill>
    </fill>
    <fill>
      <patternFill patternType="solid">
        <fgColor rgb="FF0B2E4F"/>
      </patternFill>
    </fill>
    <fill>
      <patternFill patternType="solid">
        <fgColor rgb="FFF97316"/>
      </patternFill>
    </fill>
    <fill>
      <patternFill patternType="solid">
        <fgColor rgb="FFEEF4F8"/>
      </patternFill>
    </fill>
    <fill>
      <patternFill patternType="solid">
        <fgColor rgb="FF164873"/>
      </patternFill>
    </fill>
    <fill>
      <patternFill patternType="solid">
        <fgColor rgb="FFF7F8FA"/>
      </patternFill>
    </fill>
    <fill>
      <patternFill patternType="solid">
        <fgColor rgb="FFFFF2E8"/>
      </patternFill>
    </fill>
    <fill>
      <patternFill patternType="solid">
        <fgColor rgb="FFEAF4EF"/>
      </patternFill>
    </fill>
    <fill>
      <patternFill patternType="solid">
        <fgColor rgb="FF2F6B57"/>
      </patternFill>
    </fill>
  </fills>
  <borders count="1">
    <border>
      <left/>
      <right/>
      <top/>
      <bottom/>
      <diagonal/>
    </border>
  </borders>
  <cellStyleXfs count="3">
    <xf numFmtId="0" fontId="0" fillId="0" borderId="0"/>
    <xf numFmtId="9" fontId="19" fillId="0" borderId="0" applyFont="0" applyFill="0" applyBorder="0" applyAlignment="0" applyProtection="0"/>
    <xf numFmtId="0" fontId="21" fillId="0" borderId="0" applyNumberFormat="0" applyFill="0" applyBorder="0" applyAlignment="0" applyProtection="0"/>
  </cellStyleXfs>
  <cellXfs count="50">
    <xf numFmtId="0" fontId="0" fillId="0" borderId="0" xfId="0"/>
    <xf numFmtId="0" fontId="0" fillId="2" borderId="0" xfId="0" applyFill="1"/>
    <xf numFmtId="0" fontId="5" fillId="7" borderId="0" xfId="0" applyFont="1" applyFill="1" applyAlignment="1">
      <alignment vertical="center"/>
    </xf>
    <xf numFmtId="0" fontId="6" fillId="8" borderId="0" xfId="0" applyFont="1" applyFill="1" applyAlignment="1">
      <alignment horizontal="left" vertical="center" wrapText="1"/>
    </xf>
    <xf numFmtId="0" fontId="13" fillId="6" borderId="0" xfId="0" applyFont="1" applyFill="1" applyAlignment="1">
      <alignment horizontal="center" vertical="center" wrapText="1"/>
    </xf>
    <xf numFmtId="0" fontId="7" fillId="7" borderId="0" xfId="0" applyFont="1" applyFill="1" applyAlignment="1">
      <alignment vertical="center" wrapText="1"/>
    </xf>
    <xf numFmtId="3" fontId="7" fillId="7" borderId="0" xfId="0" applyNumberFormat="1" applyFont="1" applyFill="1" applyAlignment="1">
      <alignment vertical="center" wrapText="1"/>
    </xf>
    <xf numFmtId="38" fontId="7" fillId="7" borderId="0" xfId="0" applyNumberFormat="1" applyFont="1" applyFill="1" applyAlignment="1">
      <alignment vertical="center" wrapText="1"/>
    </xf>
    <xf numFmtId="0" fontId="5" fillId="7" borderId="0" xfId="0" applyFont="1" applyFill="1" applyAlignment="1">
      <alignment vertical="center" wrapText="1"/>
    </xf>
    <xf numFmtId="4" fontId="6" fillId="8" borderId="0" xfId="0" applyNumberFormat="1" applyFont="1" applyFill="1" applyAlignment="1">
      <alignment horizontal="left" vertical="center" wrapText="1"/>
    </xf>
    <xf numFmtId="0" fontId="6" fillId="8" borderId="0" xfId="0" applyFont="1" applyFill="1" applyAlignment="1">
      <alignment vertical="top" wrapText="1"/>
    </xf>
    <xf numFmtId="0" fontId="6" fillId="8" borderId="0" xfId="0" applyFont="1" applyFill="1" applyAlignment="1">
      <alignment horizontal="left" vertical="center" wrapText="1"/>
    </xf>
    <xf numFmtId="0" fontId="8" fillId="7" borderId="0" xfId="0" applyFont="1" applyFill="1" applyAlignment="1">
      <alignment horizontal="center" vertical="center" wrapText="1"/>
    </xf>
    <xf numFmtId="0" fontId="8" fillId="8" borderId="0" xfId="0" applyFont="1" applyFill="1" applyAlignment="1">
      <alignment horizontal="center" vertical="center" wrapText="1"/>
    </xf>
    <xf numFmtId="0" fontId="4" fillId="6" borderId="0" xfId="0" applyFont="1" applyFill="1" applyAlignment="1">
      <alignment vertical="center"/>
    </xf>
    <xf numFmtId="0" fontId="5" fillId="8" borderId="0" xfId="0" applyFont="1" applyFill="1" applyAlignment="1">
      <alignment horizontal="center" vertical="center" wrapText="1"/>
    </xf>
    <xf numFmtId="0" fontId="9" fillId="5" borderId="0" xfId="0" applyFont="1" applyFill="1" applyAlignment="1">
      <alignment horizontal="center" vertical="center" wrapText="1"/>
    </xf>
    <xf numFmtId="0" fontId="10" fillId="9" borderId="0" xfId="0" applyFont="1" applyFill="1" applyAlignment="1">
      <alignment horizontal="center" vertical="center" wrapText="1"/>
    </xf>
    <xf numFmtId="0" fontId="7" fillId="2" borderId="0" xfId="0" applyFont="1" applyFill="1" applyAlignment="1">
      <alignment vertical="center" wrapText="1"/>
    </xf>
    <xf numFmtId="0" fontId="1" fillId="3" borderId="0" xfId="0" applyFont="1" applyFill="1" applyAlignment="1">
      <alignment vertical="center"/>
    </xf>
    <xf numFmtId="0" fontId="2" fillId="3" borderId="0" xfId="0" applyFont="1" applyFill="1" applyAlignment="1">
      <alignment vertical="center"/>
    </xf>
    <xf numFmtId="0" fontId="0" fillId="4" borderId="0" xfId="0" applyFill="1"/>
    <xf numFmtId="0" fontId="3" fillId="5" borderId="0" xfId="0" applyFont="1" applyFill="1" applyAlignment="1">
      <alignment horizontal="center" vertical="center" wrapText="1"/>
    </xf>
    <xf numFmtId="0" fontId="15" fillId="9" borderId="0" xfId="0" applyFont="1" applyFill="1" applyAlignment="1">
      <alignment horizontal="center" vertical="center" wrapText="1"/>
    </xf>
    <xf numFmtId="0" fontId="9" fillId="5" borderId="0" xfId="0" applyFont="1" applyFill="1" applyAlignment="1">
      <alignment vertical="center" wrapText="1"/>
    </xf>
    <xf numFmtId="0" fontId="7" fillId="2" borderId="0" xfId="0" applyFont="1" applyFill="1" applyAlignment="1">
      <alignment vertical="top" wrapText="1"/>
    </xf>
    <xf numFmtId="0" fontId="10" fillId="9" borderId="0" xfId="0" applyFont="1" applyFill="1" applyAlignment="1">
      <alignment vertical="center"/>
    </xf>
    <xf numFmtId="0" fontId="14" fillId="8" borderId="0" xfId="0" applyFont="1" applyFill="1" applyAlignment="1">
      <alignment horizontal="center" vertical="center"/>
    </xf>
    <xf numFmtId="0" fontId="6" fillId="8" borderId="0" xfId="0" applyFont="1" applyFill="1" applyAlignment="1">
      <alignment vertical="top" wrapText="1"/>
    </xf>
    <xf numFmtId="0" fontId="4" fillId="10"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wrapText="1"/>
    </xf>
    <xf numFmtId="0" fontId="16" fillId="9" borderId="0" xfId="0" applyFont="1" applyFill="1" applyAlignment="1">
      <alignment horizontal="center" vertical="center"/>
    </xf>
    <xf numFmtId="0" fontId="17" fillId="8" borderId="0" xfId="0" applyFont="1" applyFill="1" applyAlignment="1">
      <alignment horizontal="center" vertical="center"/>
    </xf>
    <xf numFmtId="0" fontId="18" fillId="8" borderId="0" xfId="0" applyFont="1" applyFill="1" applyAlignment="1">
      <alignment horizontal="center" vertical="center"/>
    </xf>
    <xf numFmtId="0" fontId="6" fillId="8" borderId="0" xfId="0" applyFont="1" applyFill="1" applyAlignment="1">
      <alignment horizontal="left" vertical="center" wrapText="1"/>
    </xf>
    <xf numFmtId="3" fontId="7" fillId="7" borderId="0" xfId="0" applyNumberFormat="1" applyFont="1" applyFill="1" applyAlignment="1">
      <alignment horizontal="center" vertical="center" wrapText="1"/>
    </xf>
    <xf numFmtId="3" fontId="6" fillId="8" borderId="0" xfId="0" applyNumberFormat="1" applyFont="1" applyFill="1" applyAlignment="1">
      <alignment horizontal="center" vertical="center" wrapText="1"/>
    </xf>
    <xf numFmtId="10" fontId="6" fillId="8" borderId="0" xfId="0" applyNumberFormat="1" applyFont="1" applyFill="1" applyAlignment="1">
      <alignment horizontal="center" vertical="center" wrapText="1"/>
    </xf>
    <xf numFmtId="0" fontId="0" fillId="2" borderId="0" xfId="0" applyFill="1" applyAlignment="1">
      <alignment horizontal="right"/>
    </xf>
    <xf numFmtId="3" fontId="0" fillId="2" borderId="0" xfId="0" applyNumberFormat="1" applyFill="1" applyAlignment="1">
      <alignment horizontal="center"/>
    </xf>
    <xf numFmtId="9" fontId="0" fillId="2" borderId="0" xfId="1" applyFont="1" applyFill="1" applyAlignment="1">
      <alignment horizontal="center"/>
    </xf>
    <xf numFmtId="3" fontId="14" fillId="8" borderId="0" xfId="0" applyNumberFormat="1" applyFont="1" applyFill="1" applyAlignment="1">
      <alignment horizontal="center" vertical="center"/>
    </xf>
    <xf numFmtId="0" fontId="20" fillId="2" borderId="0" xfId="0" applyFont="1" applyFill="1" applyAlignment="1">
      <alignment horizontal="left" vertical="center" wrapText="1"/>
    </xf>
    <xf numFmtId="38" fontId="14" fillId="8" borderId="0" xfId="0" applyNumberFormat="1" applyFont="1" applyFill="1" applyAlignment="1">
      <alignment horizontal="center" vertical="center"/>
    </xf>
    <xf numFmtId="3" fontId="6" fillId="8" borderId="0" xfId="0" applyNumberFormat="1" applyFont="1" applyFill="1" applyAlignment="1">
      <alignment horizontal="right" vertical="center" wrapText="1"/>
    </xf>
    <xf numFmtId="14" fontId="0" fillId="2" borderId="0" xfId="0" applyNumberFormat="1" applyFill="1"/>
    <xf numFmtId="14" fontId="6" fillId="8" borderId="0" xfId="0" applyNumberFormat="1" applyFont="1" applyFill="1" applyAlignment="1">
      <alignment horizontal="left" vertical="center" wrapText="1"/>
    </xf>
    <xf numFmtId="0" fontId="21" fillId="8" borderId="0" xfId="2" applyFill="1" applyAlignment="1">
      <alignment horizontal="left" vertical="center" wrapText="1"/>
    </xf>
    <xf numFmtId="4" fontId="6" fillId="8" borderId="0" xfId="0" applyNumberFormat="1" applyFont="1" applyFill="1" applyAlignment="1">
      <alignment horizontal="center" vertical="center" wrapText="1"/>
    </xf>
  </cellXfs>
  <cellStyles count="3">
    <cellStyle name="Hipervínculo" xfId="2" builtinId="8"/>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v>Participación 2024</c:v>
          </c:tx>
          <c:invertIfNegative val="1"/>
          <c:cat>
            <c:strRef>
              <c:f>'E5 Guatemala'!$B$15:$B$19</c:f>
              <c:strCache>
                <c:ptCount val="5"/>
                <c:pt idx="0">
                  <c:v>Agricultura, ganadería, silvicultura y pesca</c:v>
                </c:pt>
                <c:pt idx="1">
                  <c:v>Industrias manufactureras</c:v>
                </c:pt>
                <c:pt idx="2">
                  <c:v>Construcción</c:v>
                </c:pt>
                <c:pt idx="3">
                  <c:v>Comercio y reparación de vehículos</c:v>
                </c:pt>
                <c:pt idx="4">
                  <c:v>Actividad seleccionada por el estudiante: Actividades financieras y de seguros </c:v>
                </c:pt>
              </c:strCache>
            </c:strRef>
          </c:cat>
          <c:val>
            <c:numRef>
              <c:f>'E5 Guatemala'!$F$15:$F$19</c:f>
              <c:numCache>
                <c:formatCode>0.00%</c:formatCode>
                <c:ptCount val="5"/>
                <c:pt idx="0">
                  <c:v>9.802771362899157E-2</c:v>
                </c:pt>
                <c:pt idx="1">
                  <c:v>0.13742105835719168</c:v>
                </c:pt>
                <c:pt idx="2">
                  <c:v>5.5210417035632849E-2</c:v>
                </c:pt>
                <c:pt idx="3">
                  <c:v>0.21598154585606189</c:v>
                </c:pt>
                <c:pt idx="4">
                  <c:v>4.5159835789140075E-2</c:v>
                </c:pt>
              </c:numCache>
            </c:numRef>
          </c:val>
          <c:extLst>
            <c:ext xmlns:c16="http://schemas.microsoft.com/office/drawing/2014/chart" uri="{C3380CC4-5D6E-409C-BE32-E72D297353CC}">
              <c16:uniqueId val="{00000000-8940-2748-A4BA-98395B6129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33</xdr:row>
      <xdr:rowOff>0</xdr:rowOff>
    </xdr:from>
    <xdr:to>
      <xdr:col>10</xdr:col>
      <xdr:colOff>0</xdr:colOff>
      <xdr:row>49</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banguat.gob.gt/sites/default/files/banguat/Publica/PIB_Regional/7_Resultados_por_actividad_economica_en_departamento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showGridLines="0" topLeftCell="B25" zoomScale="125" workbookViewId="0">
      <selection activeCell="B23" sqref="B23:J23"/>
    </sheetView>
  </sheetViews>
  <sheetFormatPr baseColWidth="10" defaultColWidth="8.796875" defaultRowHeight="13.8"/>
  <cols>
    <col min="1" max="1" width="3" customWidth="1"/>
    <col min="2" max="10" width="17" customWidth="1"/>
    <col min="11" max="11" width="3" customWidth="1"/>
  </cols>
  <sheetData>
    <row r="1" spans="1:11">
      <c r="A1" s="1"/>
      <c r="B1" s="1"/>
      <c r="C1" s="1"/>
      <c r="D1" s="1"/>
      <c r="E1" s="1"/>
      <c r="F1" s="1"/>
      <c r="G1" s="1"/>
      <c r="H1" s="1"/>
      <c r="I1" s="1"/>
      <c r="J1" s="1"/>
      <c r="K1" s="1"/>
    </row>
    <row r="2" spans="1:11">
      <c r="A2" s="1"/>
      <c r="B2" s="19" t="s">
        <v>0</v>
      </c>
      <c r="C2" s="19"/>
      <c r="D2" s="19"/>
      <c r="E2" s="19"/>
      <c r="F2" s="19"/>
      <c r="G2" s="19"/>
      <c r="H2" s="19"/>
      <c r="I2" s="19"/>
      <c r="J2" s="19"/>
      <c r="K2" s="1"/>
    </row>
    <row r="3" spans="1:11">
      <c r="A3" s="1"/>
      <c r="B3" s="19"/>
      <c r="C3" s="19"/>
      <c r="D3" s="19"/>
      <c r="E3" s="19"/>
      <c r="F3" s="19"/>
      <c r="G3" s="19"/>
      <c r="H3" s="19"/>
      <c r="I3" s="19"/>
      <c r="J3" s="19"/>
      <c r="K3" s="1"/>
    </row>
    <row r="4" spans="1:11" ht="17.399999999999999">
      <c r="A4" s="1"/>
      <c r="B4" s="20" t="s">
        <v>1</v>
      </c>
      <c r="C4" s="20"/>
      <c r="D4" s="20"/>
      <c r="E4" s="20"/>
      <c r="F4" s="20"/>
      <c r="G4" s="20"/>
      <c r="H4" s="20"/>
      <c r="I4" s="20"/>
      <c r="J4" s="20"/>
      <c r="K4" s="1"/>
    </row>
    <row r="5" spans="1:11" ht="6.75" customHeight="1">
      <c r="A5" s="1"/>
      <c r="B5" s="21"/>
      <c r="C5" s="21"/>
      <c r="D5" s="21"/>
      <c r="E5" s="21"/>
      <c r="F5" s="21"/>
      <c r="G5" s="21"/>
      <c r="H5" s="21"/>
      <c r="I5" s="21"/>
      <c r="J5" s="21"/>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22" t="s">
        <v>2</v>
      </c>
      <c r="C8" s="22"/>
      <c r="D8" s="22"/>
      <c r="E8" s="22"/>
      <c r="F8" s="22"/>
      <c r="G8" s="22"/>
      <c r="H8" s="22"/>
      <c r="I8" s="22"/>
      <c r="J8" s="22"/>
      <c r="K8" s="1"/>
    </row>
    <row r="9" spans="1:11">
      <c r="A9" s="1"/>
      <c r="B9" s="22"/>
      <c r="C9" s="22"/>
      <c r="D9" s="22"/>
      <c r="E9" s="22"/>
      <c r="F9" s="22"/>
      <c r="G9" s="22"/>
      <c r="H9" s="22"/>
      <c r="I9" s="22"/>
      <c r="J9" s="22"/>
      <c r="K9" s="1"/>
    </row>
    <row r="10" spans="1:11">
      <c r="A10" s="1"/>
      <c r="B10" s="22"/>
      <c r="C10" s="22"/>
      <c r="D10" s="22"/>
      <c r="E10" s="22"/>
      <c r="F10" s="22"/>
      <c r="G10" s="22"/>
      <c r="H10" s="22"/>
      <c r="I10" s="22"/>
      <c r="J10" s="22"/>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4" t="s">
        <v>3</v>
      </c>
      <c r="C13" s="14"/>
      <c r="D13" s="14"/>
      <c r="E13" s="14"/>
      <c r="F13" s="14"/>
      <c r="G13" s="14"/>
      <c r="H13" s="14"/>
      <c r="I13" s="14"/>
      <c r="J13" s="14"/>
      <c r="K13" s="1"/>
    </row>
    <row r="14" spans="1:11" ht="26.4">
      <c r="A14" s="1"/>
      <c r="B14" s="2" t="s">
        <v>4</v>
      </c>
      <c r="C14" s="3" t="s">
        <v>147</v>
      </c>
      <c r="D14" s="3"/>
      <c r="E14" s="3"/>
      <c r="F14" s="2" t="s">
        <v>5</v>
      </c>
      <c r="G14" s="3">
        <v>92026065</v>
      </c>
      <c r="H14" s="3"/>
      <c r="I14" s="3"/>
      <c r="J14" s="3"/>
      <c r="K14" s="1"/>
    </row>
    <row r="15" spans="1:11">
      <c r="A15" s="1"/>
      <c r="B15" s="1"/>
      <c r="C15" s="46">
        <v>46260</v>
      </c>
      <c r="D15" s="1"/>
      <c r="E15" s="1"/>
      <c r="F15" s="1"/>
      <c r="G15" s="1"/>
      <c r="H15" s="1"/>
      <c r="I15" s="1"/>
      <c r="J15" s="1"/>
      <c r="K15" s="1"/>
    </row>
    <row r="16" spans="1:11">
      <c r="A16" s="1"/>
      <c r="B16" s="2" t="s">
        <v>6</v>
      </c>
      <c r="C16" s="3"/>
      <c r="D16" s="3"/>
      <c r="E16" s="3"/>
      <c r="F16" s="2" t="s">
        <v>7</v>
      </c>
      <c r="G16" s="3" t="s">
        <v>148</v>
      </c>
      <c r="H16" s="3"/>
      <c r="I16" s="3"/>
      <c r="J16" s="3"/>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ht="30.75" customHeight="1">
      <c r="A19" s="1"/>
      <c r="B19" s="14" t="s">
        <v>8</v>
      </c>
      <c r="C19" s="14"/>
      <c r="D19" s="14"/>
      <c r="E19" s="14"/>
      <c r="F19" s="14"/>
      <c r="G19" s="14"/>
      <c r="H19" s="14"/>
      <c r="I19" s="14"/>
      <c r="J19" s="14"/>
      <c r="K19" s="1"/>
    </row>
    <row r="20" spans="1:11" ht="31.95" customHeight="1">
      <c r="A20" s="1"/>
      <c r="B20" s="18" t="s">
        <v>9</v>
      </c>
      <c r="C20" s="18"/>
      <c r="D20" s="18"/>
      <c r="E20" s="18"/>
      <c r="F20" s="18"/>
      <c r="G20" s="18"/>
      <c r="H20" s="18"/>
      <c r="I20" s="18"/>
      <c r="J20" s="18"/>
      <c r="K20" s="1"/>
    </row>
    <row r="21" spans="1:11" ht="31.95" customHeight="1">
      <c r="A21" s="1"/>
      <c r="B21" s="18" t="s">
        <v>10</v>
      </c>
      <c r="C21" s="18"/>
      <c r="D21" s="18"/>
      <c r="E21" s="18"/>
      <c r="F21" s="18"/>
      <c r="G21" s="18"/>
      <c r="H21" s="18"/>
      <c r="I21" s="18"/>
      <c r="J21" s="18"/>
      <c r="K21" s="1"/>
    </row>
    <row r="22" spans="1:11" ht="31.95" customHeight="1">
      <c r="A22" s="1"/>
      <c r="B22" s="18" t="s">
        <v>11</v>
      </c>
      <c r="C22" s="18"/>
      <c r="D22" s="18"/>
      <c r="E22" s="18"/>
      <c r="F22" s="18"/>
      <c r="G22" s="18"/>
      <c r="H22" s="18"/>
      <c r="I22" s="18"/>
      <c r="J22" s="18"/>
      <c r="K22" s="1"/>
    </row>
    <row r="23" spans="1:11" ht="31.95" customHeight="1">
      <c r="A23" s="1"/>
      <c r="B23" s="18" t="s">
        <v>12</v>
      </c>
      <c r="C23" s="18"/>
      <c r="D23" s="18"/>
      <c r="E23" s="18"/>
      <c r="F23" s="18"/>
      <c r="G23" s="18"/>
      <c r="H23" s="18"/>
      <c r="I23" s="18"/>
      <c r="J23" s="18"/>
      <c r="K23" s="1"/>
    </row>
    <row r="24" spans="1:11" ht="31.95" customHeight="1">
      <c r="A24" s="1"/>
      <c r="B24" s="18" t="s">
        <v>124</v>
      </c>
      <c r="C24" s="18"/>
      <c r="D24" s="18"/>
      <c r="E24" s="18"/>
      <c r="F24" s="18"/>
      <c r="G24" s="18"/>
      <c r="H24" s="18"/>
      <c r="I24" s="18"/>
      <c r="J24" s="18"/>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4" t="s">
        <v>13</v>
      </c>
      <c r="C27" s="14"/>
      <c r="D27" s="14"/>
      <c r="E27" s="14"/>
      <c r="F27" s="14"/>
      <c r="G27" s="14"/>
      <c r="H27" s="14"/>
      <c r="I27" s="14"/>
      <c r="J27" s="14"/>
      <c r="K27" s="1"/>
    </row>
    <row r="28" spans="1:11">
      <c r="A28" s="1"/>
      <c r="B28" s="1"/>
      <c r="C28" s="1"/>
      <c r="D28" s="1"/>
      <c r="E28" s="1"/>
      <c r="F28" s="1"/>
      <c r="G28" s="1"/>
      <c r="H28" s="1"/>
      <c r="I28" s="1"/>
      <c r="J28" s="1"/>
      <c r="K28" s="1"/>
    </row>
    <row r="29" spans="1:11">
      <c r="A29" s="1"/>
      <c r="B29" s="12" t="s">
        <v>14</v>
      </c>
      <c r="C29" s="12"/>
      <c r="D29" s="12"/>
      <c r="E29" s="12" t="s">
        <v>15</v>
      </c>
      <c r="F29" s="12"/>
      <c r="G29" s="12"/>
      <c r="H29" s="12" t="s">
        <v>16</v>
      </c>
      <c r="I29" s="12"/>
      <c r="J29" s="12"/>
      <c r="K29" s="1"/>
    </row>
    <row r="30" spans="1:11">
      <c r="A30" s="1"/>
      <c r="B30" s="12"/>
      <c r="C30" s="12"/>
      <c r="D30" s="12"/>
      <c r="E30" s="12"/>
      <c r="F30" s="12"/>
      <c r="G30" s="12"/>
      <c r="H30" s="12"/>
      <c r="I30" s="12"/>
      <c r="J30" s="12"/>
      <c r="K30" s="1"/>
    </row>
    <row r="31" spans="1:11">
      <c r="A31" s="1"/>
      <c r="B31" s="12"/>
      <c r="C31" s="12"/>
      <c r="D31" s="12"/>
      <c r="E31" s="12"/>
      <c r="F31" s="12"/>
      <c r="G31" s="12"/>
      <c r="H31" s="12"/>
      <c r="I31" s="12"/>
      <c r="J31" s="12"/>
      <c r="K31" s="1"/>
    </row>
    <row r="32" spans="1:11">
      <c r="A32" s="1"/>
      <c r="B32" s="12"/>
      <c r="C32" s="12"/>
      <c r="D32" s="12"/>
      <c r="E32" s="12"/>
      <c r="F32" s="12"/>
      <c r="G32" s="12"/>
      <c r="H32" s="12"/>
      <c r="I32" s="12"/>
      <c r="J32" s="12"/>
      <c r="K32" s="1"/>
    </row>
    <row r="33" spans="1:11">
      <c r="A33" s="1"/>
      <c r="B33" s="1"/>
      <c r="C33" s="1"/>
      <c r="D33" s="1"/>
      <c r="E33" s="1"/>
      <c r="F33" s="1"/>
      <c r="G33" s="1"/>
      <c r="H33" s="1"/>
      <c r="I33" s="1"/>
      <c r="J33" s="1"/>
      <c r="K33" s="1"/>
    </row>
    <row r="34" spans="1:11">
      <c r="A34" s="1"/>
      <c r="B34" s="12" t="s">
        <v>17</v>
      </c>
      <c r="C34" s="12"/>
      <c r="D34" s="12"/>
      <c r="E34" s="12"/>
      <c r="F34" s="13" t="s">
        <v>18</v>
      </c>
      <c r="G34" s="13"/>
      <c r="H34" s="13"/>
      <c r="I34" s="13"/>
      <c r="J34" s="13"/>
      <c r="K34" s="1"/>
    </row>
    <row r="35" spans="1:11">
      <c r="A35" s="1"/>
      <c r="B35" s="12"/>
      <c r="C35" s="12"/>
      <c r="D35" s="12"/>
      <c r="E35" s="12"/>
      <c r="F35" s="13"/>
      <c r="G35" s="13"/>
      <c r="H35" s="13"/>
      <c r="I35" s="13"/>
      <c r="J35" s="13"/>
      <c r="K35" s="1"/>
    </row>
    <row r="36" spans="1:11">
      <c r="A36" s="1"/>
      <c r="B36" s="12"/>
      <c r="C36" s="12"/>
      <c r="D36" s="12"/>
      <c r="E36" s="12"/>
      <c r="F36" s="13"/>
      <c r="G36" s="13"/>
      <c r="H36" s="13"/>
      <c r="I36" s="13"/>
      <c r="J36" s="13"/>
      <c r="K36" s="1"/>
    </row>
    <row r="37" spans="1:11">
      <c r="A37" s="1"/>
      <c r="B37" s="12"/>
      <c r="C37" s="12"/>
      <c r="D37" s="12"/>
      <c r="E37" s="12"/>
      <c r="F37" s="13"/>
      <c r="G37" s="13"/>
      <c r="H37" s="13"/>
      <c r="I37" s="13"/>
      <c r="J37" s="13"/>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ht="30.75" customHeight="1">
      <c r="A40" s="1"/>
      <c r="B40" s="14" t="s">
        <v>19</v>
      </c>
      <c r="C40" s="14"/>
      <c r="D40" s="14"/>
      <c r="E40" s="14"/>
      <c r="F40" s="14"/>
      <c r="G40" s="14"/>
      <c r="H40" s="14"/>
      <c r="I40" s="14"/>
      <c r="J40" s="14"/>
      <c r="K40" s="1"/>
    </row>
    <row r="41" spans="1:11">
      <c r="A41" s="1"/>
      <c r="B41" s="15" t="s">
        <v>20</v>
      </c>
      <c r="C41" s="15"/>
      <c r="D41" s="15"/>
      <c r="E41" s="16" t="s">
        <v>21</v>
      </c>
      <c r="F41" s="16"/>
      <c r="G41" s="16"/>
      <c r="H41" s="17" t="s">
        <v>22</v>
      </c>
      <c r="I41" s="17"/>
      <c r="J41" s="17"/>
      <c r="K41" s="1"/>
    </row>
    <row r="42" spans="1:11">
      <c r="A42" s="1"/>
      <c r="B42" s="15"/>
      <c r="C42" s="15"/>
      <c r="D42" s="15"/>
      <c r="E42" s="16"/>
      <c r="F42" s="16"/>
      <c r="G42" s="16"/>
      <c r="H42" s="17"/>
      <c r="I42" s="17"/>
      <c r="J42" s="17"/>
      <c r="K42" s="1"/>
    </row>
    <row r="43" spans="1:11">
      <c r="A43" s="1"/>
      <c r="B43" s="15"/>
      <c r="C43" s="15"/>
      <c r="D43" s="15"/>
      <c r="E43" s="16"/>
      <c r="F43" s="16"/>
      <c r="G43" s="16"/>
      <c r="H43" s="17"/>
      <c r="I43" s="17"/>
      <c r="J43" s="17"/>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21">
    <mergeCell ref="B2:J3"/>
    <mergeCell ref="B4:J4"/>
    <mergeCell ref="B5:J5"/>
    <mergeCell ref="B8:J10"/>
    <mergeCell ref="B13:J13"/>
    <mergeCell ref="B19:J19"/>
    <mergeCell ref="B20:J20"/>
    <mergeCell ref="B21:J21"/>
    <mergeCell ref="B22:J22"/>
    <mergeCell ref="B23:J23"/>
    <mergeCell ref="B24:J24"/>
    <mergeCell ref="B27:J27"/>
    <mergeCell ref="B29:D32"/>
    <mergeCell ref="E29:G32"/>
    <mergeCell ref="H29:J32"/>
    <mergeCell ref="B34:E37"/>
    <mergeCell ref="F34:J37"/>
    <mergeCell ref="B40:J40"/>
    <mergeCell ref="B41:D43"/>
    <mergeCell ref="E41:G43"/>
    <mergeCell ref="H41:J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7"/>
  <sheetViews>
    <sheetView showGridLines="0" topLeftCell="A10" workbookViewId="0">
      <selection activeCell="E10" sqref="E10"/>
    </sheetView>
  </sheetViews>
  <sheetFormatPr baseColWidth="10" defaultColWidth="8.796875" defaultRowHeight="13.8"/>
  <cols>
    <col min="1" max="1" width="3" customWidth="1"/>
    <col min="2" max="2" width="29" customWidth="1"/>
    <col min="3" max="3" width="16" customWidth="1"/>
    <col min="4" max="4" width="18" customWidth="1"/>
    <col min="5" max="5" width="17" customWidth="1"/>
    <col min="6" max="6" width="18" customWidth="1"/>
    <col min="7" max="7" width="4" customWidth="1"/>
    <col min="8" max="10" width="22" customWidth="1"/>
    <col min="11" max="11" width="3" customWidth="1"/>
  </cols>
  <sheetData>
    <row r="1" spans="1:11">
      <c r="A1" s="1"/>
      <c r="B1" s="1"/>
      <c r="C1" s="1"/>
      <c r="D1" s="1"/>
      <c r="E1" s="1"/>
      <c r="F1" s="1"/>
      <c r="G1" s="1"/>
      <c r="H1" s="1"/>
      <c r="I1" s="1"/>
      <c r="J1" s="1"/>
      <c r="K1" s="1"/>
    </row>
    <row r="2" spans="1:11" ht="45.3" customHeight="1">
      <c r="A2" s="1"/>
      <c r="B2" s="30" t="s">
        <v>23</v>
      </c>
      <c r="C2" s="30"/>
      <c r="D2" s="30"/>
      <c r="E2" s="30"/>
      <c r="F2" s="30"/>
      <c r="G2" s="30"/>
      <c r="H2" s="30"/>
      <c r="I2" s="30"/>
      <c r="J2" s="30"/>
      <c r="K2" s="1"/>
    </row>
    <row r="3" spans="1:11" ht="30.75" customHeight="1">
      <c r="A3" s="1"/>
      <c r="B3" s="31" t="s">
        <v>24</v>
      </c>
      <c r="C3" s="31"/>
      <c r="D3" s="31"/>
      <c r="E3" s="31"/>
      <c r="F3" s="31"/>
      <c r="G3" s="31"/>
      <c r="H3" s="31"/>
      <c r="I3" s="31"/>
      <c r="J3" s="31"/>
      <c r="K3" s="1"/>
    </row>
    <row r="4" spans="1:11" ht="6.75" customHeight="1">
      <c r="A4" s="1"/>
      <c r="B4" s="21"/>
      <c r="C4" s="21"/>
      <c r="D4" s="21"/>
      <c r="E4" s="21"/>
      <c r="F4" s="21"/>
      <c r="G4" s="21"/>
      <c r="H4" s="21"/>
      <c r="I4" s="21"/>
      <c r="J4" s="2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4" t="s">
        <v>25</v>
      </c>
      <c r="C7" s="14"/>
      <c r="D7" s="14"/>
      <c r="E7" s="14"/>
      <c r="F7" s="14"/>
      <c r="G7" s="1"/>
      <c r="H7" s="1"/>
      <c r="I7" s="1"/>
      <c r="J7" s="1"/>
      <c r="K7" s="1"/>
    </row>
    <row r="8" spans="1:11" ht="37.200000000000003" customHeight="1">
      <c r="A8" s="1"/>
      <c r="B8" s="4" t="s">
        <v>26</v>
      </c>
      <c r="C8" s="4" t="s">
        <v>27</v>
      </c>
      <c r="D8" s="4" t="s">
        <v>28</v>
      </c>
      <c r="E8" s="4" t="s">
        <v>29</v>
      </c>
      <c r="F8" s="4" t="s">
        <v>30</v>
      </c>
      <c r="G8" s="1"/>
      <c r="H8" s="1"/>
      <c r="I8" s="1"/>
      <c r="J8" s="1"/>
      <c r="K8" s="1"/>
    </row>
    <row r="9" spans="1:11">
      <c r="A9" s="1"/>
      <c r="B9" s="5" t="s">
        <v>31</v>
      </c>
      <c r="C9" s="36">
        <v>1650</v>
      </c>
      <c r="D9" s="36">
        <v>620</v>
      </c>
      <c r="E9" s="37">
        <f>C9-D9</f>
        <v>1030</v>
      </c>
      <c r="F9" s="38">
        <f>(E9/$E$13)*1</f>
        <v>0.2536945812807882</v>
      </c>
      <c r="G9" s="1"/>
      <c r="H9" s="1"/>
      <c r="I9" s="1"/>
      <c r="J9" s="1"/>
      <c r="K9" s="1"/>
    </row>
    <row r="10" spans="1:11">
      <c r="A10" s="1"/>
      <c r="B10" s="5" t="s">
        <v>32</v>
      </c>
      <c r="C10" s="36">
        <v>2900</v>
      </c>
      <c r="D10" s="36">
        <v>1750</v>
      </c>
      <c r="E10" s="37">
        <f t="shared" ref="E10:E12" si="0">C10-D10</f>
        <v>1150</v>
      </c>
      <c r="F10" s="38">
        <f t="shared" ref="F10:F12" si="1">(E10/$E$13)*1</f>
        <v>0.28325123152709358</v>
      </c>
      <c r="G10" s="1"/>
      <c r="H10" s="1"/>
      <c r="I10" s="1"/>
      <c r="J10" s="1"/>
      <c r="K10" s="1"/>
    </row>
    <row r="11" spans="1:11">
      <c r="A11" s="1"/>
      <c r="B11" s="5" t="s">
        <v>33</v>
      </c>
      <c r="C11" s="36">
        <v>1250</v>
      </c>
      <c r="D11" s="36">
        <v>720</v>
      </c>
      <c r="E11" s="37">
        <f t="shared" si="0"/>
        <v>530</v>
      </c>
      <c r="F11" s="38">
        <f t="shared" si="1"/>
        <v>0.13054187192118227</v>
      </c>
      <c r="G11" s="1"/>
      <c r="H11" s="1"/>
      <c r="I11" s="1"/>
      <c r="J11" s="1"/>
      <c r="K11" s="1"/>
    </row>
    <row r="12" spans="1:11">
      <c r="A12" s="1"/>
      <c r="B12" s="5" t="s">
        <v>34</v>
      </c>
      <c r="C12" s="36">
        <v>2400</v>
      </c>
      <c r="D12" s="36">
        <v>1050</v>
      </c>
      <c r="E12" s="37">
        <f t="shared" si="0"/>
        <v>1350</v>
      </c>
      <c r="F12" s="38">
        <f t="shared" si="1"/>
        <v>0.33251231527093594</v>
      </c>
      <c r="G12" s="1"/>
      <c r="H12" s="1"/>
      <c r="I12" s="1"/>
      <c r="J12" s="1"/>
      <c r="K12" s="1"/>
    </row>
    <row r="13" spans="1:11">
      <c r="A13" s="1"/>
      <c r="B13" s="39" t="s">
        <v>125</v>
      </c>
      <c r="C13" s="40">
        <f>SUM(C9:C12)</f>
        <v>8200</v>
      </c>
      <c r="D13" s="40">
        <f t="shared" ref="D13:F13" si="2">SUM(D9:D12)</f>
        <v>4140</v>
      </c>
      <c r="E13" s="40">
        <f t="shared" si="2"/>
        <v>4060</v>
      </c>
      <c r="F13" s="41">
        <f t="shared" si="2"/>
        <v>1</v>
      </c>
      <c r="G13" s="1"/>
      <c r="H13" s="1"/>
      <c r="I13" s="1"/>
      <c r="J13" s="1"/>
      <c r="K13" s="1"/>
    </row>
    <row r="14" spans="1:11">
      <c r="A14" s="1"/>
      <c r="B14" s="1"/>
      <c r="C14" s="1"/>
      <c r="D14" s="1"/>
      <c r="E14" s="1"/>
      <c r="F14" s="1"/>
      <c r="G14" s="1"/>
      <c r="H14" s="1"/>
      <c r="I14" s="1"/>
      <c r="J14" s="1"/>
      <c r="K14" s="1"/>
    </row>
    <row r="15" spans="1:11" ht="30.75" customHeight="1">
      <c r="A15" s="1"/>
      <c r="B15" s="14" t="s">
        <v>35</v>
      </c>
      <c r="C15" s="14"/>
      <c r="D15" s="14"/>
      <c r="E15" s="14"/>
      <c r="F15" s="14"/>
      <c r="G15" s="1"/>
      <c r="H15" s="1"/>
      <c r="I15" s="1"/>
      <c r="J15" s="1"/>
      <c r="K15" s="1"/>
    </row>
    <row r="16" spans="1:11">
      <c r="A16" s="1"/>
      <c r="B16" s="5" t="s">
        <v>36</v>
      </c>
      <c r="C16" s="6">
        <v>420</v>
      </c>
      <c r="D16" s="1"/>
      <c r="E16" s="1"/>
      <c r="F16" s="1"/>
      <c r="G16" s="1"/>
      <c r="H16" s="1"/>
      <c r="I16" s="1"/>
      <c r="J16" s="1"/>
      <c r="K16" s="1"/>
    </row>
    <row r="17" spans="1:11">
      <c r="A17" s="1"/>
      <c r="B17" s="5" t="s">
        <v>37</v>
      </c>
      <c r="C17" s="6">
        <v>40</v>
      </c>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ht="30.75" customHeight="1">
      <c r="A20" s="1"/>
      <c r="B20" s="14" t="s">
        <v>38</v>
      </c>
      <c r="C20" s="14"/>
      <c r="D20" s="14"/>
      <c r="E20" s="14"/>
      <c r="F20" s="14"/>
      <c r="G20" s="14"/>
      <c r="H20" s="1"/>
      <c r="I20" s="1"/>
      <c r="J20" s="1"/>
      <c r="K20" s="1"/>
    </row>
    <row r="21" spans="1:11" ht="33.299999999999997" customHeight="1">
      <c r="A21" s="1"/>
      <c r="B21" s="26" t="s">
        <v>39</v>
      </c>
      <c r="C21" s="26"/>
      <c r="D21" s="26"/>
      <c r="E21" s="42">
        <f>E13</f>
        <v>4060</v>
      </c>
      <c r="F21" s="27"/>
      <c r="G21" s="27"/>
      <c r="H21" s="1"/>
      <c r="I21" s="1"/>
      <c r="J21" s="1"/>
      <c r="K21" s="1"/>
    </row>
    <row r="22" spans="1:11">
      <c r="A22" s="1"/>
      <c r="B22" s="1"/>
      <c r="C22" s="1"/>
      <c r="D22" s="1"/>
      <c r="E22" s="1"/>
      <c r="F22" s="1"/>
      <c r="G22" s="1"/>
      <c r="H22" s="1"/>
      <c r="I22" s="1"/>
      <c r="J22" s="1"/>
      <c r="K22" s="1"/>
    </row>
    <row r="23" spans="1:11" ht="33.299999999999997" customHeight="1">
      <c r="A23" s="1"/>
      <c r="B23" s="26" t="s">
        <v>40</v>
      </c>
      <c r="C23" s="26"/>
      <c r="D23" s="26"/>
      <c r="E23" s="42">
        <f>C16-C17</f>
        <v>380</v>
      </c>
      <c r="F23" s="27"/>
      <c r="G23" s="27"/>
      <c r="H23" s="1"/>
      <c r="I23" s="1"/>
      <c r="J23" s="1"/>
      <c r="K23" s="1"/>
    </row>
    <row r="24" spans="1:11">
      <c r="A24" s="1"/>
      <c r="B24" s="1"/>
      <c r="C24" s="1"/>
      <c r="D24" s="1"/>
      <c r="E24" s="1"/>
      <c r="F24" s="1"/>
      <c r="G24" s="1"/>
      <c r="H24" s="1"/>
      <c r="I24" s="1"/>
      <c r="J24" s="1"/>
      <c r="K24" s="1"/>
    </row>
    <row r="25" spans="1:11" ht="33.299999999999997" customHeight="1">
      <c r="A25" s="1"/>
      <c r="B25" s="26" t="s">
        <v>41</v>
      </c>
      <c r="C25" s="26"/>
      <c r="D25" s="26"/>
      <c r="E25" s="42">
        <f>E21+E23</f>
        <v>4440</v>
      </c>
      <c r="F25" s="27"/>
      <c r="G25" s="27"/>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4" t="s">
        <v>42</v>
      </c>
      <c r="C28" s="14"/>
      <c r="D28" s="14"/>
      <c r="E28" s="14"/>
      <c r="F28" s="14"/>
      <c r="G28" s="14"/>
      <c r="H28" s="1"/>
      <c r="I28" s="1"/>
      <c r="J28" s="1"/>
      <c r="K28" s="1"/>
    </row>
    <row r="29" spans="1:11">
      <c r="A29" s="1"/>
      <c r="B29" s="10" t="s">
        <v>126</v>
      </c>
      <c r="C29" s="10"/>
      <c r="D29" s="10"/>
      <c r="E29" s="10"/>
      <c r="F29" s="10"/>
      <c r="G29" s="10"/>
      <c r="H29" s="1"/>
      <c r="I29" s="1"/>
      <c r="J29" s="1"/>
      <c r="K29" s="1"/>
    </row>
    <row r="30" spans="1:11">
      <c r="A30" s="1"/>
      <c r="B30" s="10" t="s">
        <v>31</v>
      </c>
      <c r="C30" s="10" t="s">
        <v>127</v>
      </c>
      <c r="D30" s="10">
        <v>1030</v>
      </c>
      <c r="E30" s="10"/>
      <c r="F30" s="10"/>
      <c r="G30" s="10"/>
      <c r="H30" s="1"/>
      <c r="I30" s="1"/>
      <c r="J30" s="1"/>
      <c r="K30" s="1"/>
    </row>
    <row r="31" spans="1:11">
      <c r="A31" s="1"/>
      <c r="B31" s="10" t="s">
        <v>128</v>
      </c>
      <c r="C31" s="10" t="s">
        <v>129</v>
      </c>
      <c r="D31" s="10">
        <v>1150</v>
      </c>
      <c r="E31" s="10"/>
      <c r="F31" s="10"/>
      <c r="G31" s="10"/>
      <c r="H31" s="1"/>
      <c r="I31" s="1"/>
      <c r="J31" s="1"/>
      <c r="K31" s="1"/>
    </row>
    <row r="32" spans="1:11">
      <c r="A32" s="1"/>
      <c r="B32" s="10" t="s">
        <v>130</v>
      </c>
      <c r="C32" s="10" t="s">
        <v>131</v>
      </c>
      <c r="D32" s="10">
        <v>530</v>
      </c>
      <c r="E32" s="10"/>
      <c r="F32" s="10"/>
      <c r="G32" s="10"/>
      <c r="H32" s="1"/>
      <c r="I32" s="1"/>
      <c r="J32" s="1"/>
      <c r="K32" s="1"/>
    </row>
    <row r="33" spans="1:11">
      <c r="A33" s="1"/>
      <c r="B33" s="10" t="s">
        <v>34</v>
      </c>
      <c r="C33" s="10" t="s">
        <v>132</v>
      </c>
      <c r="D33" s="10">
        <v>1350</v>
      </c>
      <c r="E33" s="10"/>
      <c r="F33" s="10"/>
      <c r="G33" s="10"/>
      <c r="H33" s="1"/>
      <c r="I33" s="1"/>
      <c r="J33" s="1"/>
      <c r="K33" s="1"/>
    </row>
    <row r="34" spans="1:11">
      <c r="A34" s="1"/>
      <c r="B34" s="10"/>
      <c r="C34" s="10"/>
      <c r="D34" s="10"/>
      <c r="E34" s="10"/>
      <c r="F34" s="10"/>
      <c r="G34" s="10"/>
      <c r="H34" s="1"/>
      <c r="I34" s="1"/>
      <c r="J34" s="1"/>
      <c r="K34" s="1"/>
    </row>
    <row r="35" spans="1:11" ht="26.4">
      <c r="A35" s="1"/>
      <c r="B35" s="10" t="s">
        <v>133</v>
      </c>
      <c r="C35" s="10" t="s">
        <v>134</v>
      </c>
      <c r="D35" s="10">
        <v>4060</v>
      </c>
      <c r="E35" s="10"/>
      <c r="F35" s="10"/>
      <c r="G35" s="10"/>
      <c r="H35" s="1"/>
      <c r="I35" s="1"/>
      <c r="J35" s="1"/>
      <c r="K35" s="1"/>
    </row>
    <row r="36" spans="1:11">
      <c r="A36" s="1"/>
      <c r="B36" s="10" t="s">
        <v>136</v>
      </c>
      <c r="C36" s="10" t="s">
        <v>137</v>
      </c>
      <c r="D36" s="10">
        <v>380</v>
      </c>
      <c r="E36" s="10"/>
      <c r="F36" s="10"/>
      <c r="G36" s="10"/>
      <c r="H36" s="1"/>
      <c r="I36" s="1"/>
      <c r="J36" s="1"/>
      <c r="K36" s="1"/>
    </row>
    <row r="37" spans="1:11">
      <c r="A37" s="1"/>
      <c r="B37" s="10"/>
      <c r="C37" s="10"/>
      <c r="D37" s="10"/>
      <c r="E37" s="10"/>
      <c r="F37" s="10"/>
      <c r="G37" s="10"/>
      <c r="H37" s="1"/>
      <c r="I37" s="1"/>
      <c r="J37" s="1"/>
      <c r="K37" s="1"/>
    </row>
    <row r="38" spans="1:11">
      <c r="A38" s="1"/>
      <c r="B38" s="10" t="s">
        <v>138</v>
      </c>
      <c r="C38" s="10" t="s">
        <v>139</v>
      </c>
      <c r="D38" s="10">
        <v>4440</v>
      </c>
      <c r="E38" s="10"/>
      <c r="F38" s="10"/>
      <c r="G38" s="10"/>
      <c r="H38" s="1"/>
      <c r="I38" s="1"/>
      <c r="J38" s="1"/>
      <c r="K38" s="1"/>
    </row>
    <row r="39" spans="1:11">
      <c r="B39" s="10" t="s">
        <v>135</v>
      </c>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ht="30.75" customHeight="1">
      <c r="A42" s="1"/>
      <c r="B42" s="29" t="s">
        <v>43</v>
      </c>
      <c r="C42" s="29"/>
      <c r="D42" s="29"/>
      <c r="E42" s="29"/>
      <c r="F42" s="29"/>
      <c r="G42" s="29"/>
      <c r="H42" s="29"/>
      <c r="I42" s="29"/>
      <c r="J42" s="29"/>
      <c r="K42" s="1"/>
    </row>
    <row r="43" spans="1:11">
      <c r="A43" s="1"/>
      <c r="B43" s="23" t="s">
        <v>44</v>
      </c>
      <c r="C43" s="23"/>
      <c r="D43" s="23"/>
      <c r="E43" s="23"/>
      <c r="F43" s="23"/>
      <c r="G43" s="23"/>
      <c r="H43" s="23"/>
      <c r="I43" s="23"/>
      <c r="J43" s="23"/>
      <c r="K43" s="1"/>
    </row>
    <row r="44" spans="1:11">
      <c r="A44" s="1"/>
      <c r="B44" s="23"/>
      <c r="C44" s="23"/>
      <c r="D44" s="23"/>
      <c r="E44" s="23"/>
      <c r="F44" s="23"/>
      <c r="G44" s="23"/>
      <c r="H44" s="23"/>
      <c r="I44" s="23"/>
      <c r="J44" s="23"/>
      <c r="K44" s="1"/>
    </row>
    <row r="45" spans="1:11">
      <c r="A45" s="1"/>
      <c r="B45" s="23"/>
      <c r="C45" s="23"/>
      <c r="D45" s="23"/>
      <c r="E45" s="23"/>
      <c r="F45" s="23"/>
      <c r="G45" s="23"/>
      <c r="H45" s="23"/>
      <c r="I45" s="23"/>
      <c r="J45" s="23"/>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ht="41.25" customHeight="1">
      <c r="A48" s="1"/>
      <c r="B48" s="24" t="s">
        <v>45</v>
      </c>
      <c r="C48" s="24"/>
      <c r="D48" s="24"/>
      <c r="E48" s="24"/>
      <c r="F48" s="24"/>
      <c r="G48" s="24"/>
      <c r="H48" s="24"/>
      <c r="I48" s="24"/>
      <c r="J48" s="24"/>
      <c r="K48" s="1"/>
    </row>
    <row r="49" spans="1:11" ht="31.95" customHeight="1">
      <c r="A49" s="1"/>
      <c r="B49" s="43" t="s">
        <v>140</v>
      </c>
      <c r="C49" s="43"/>
      <c r="D49" s="43"/>
      <c r="E49" s="43"/>
      <c r="F49" s="43"/>
      <c r="G49" s="43"/>
      <c r="H49" s="43"/>
      <c r="I49" s="43"/>
      <c r="J49" s="43"/>
      <c r="K49" s="1"/>
    </row>
    <row r="50" spans="1:11" ht="31.95" customHeight="1">
      <c r="A50" s="1"/>
      <c r="B50" s="43"/>
      <c r="C50" s="43"/>
      <c r="D50" s="43"/>
      <c r="E50" s="43"/>
      <c r="F50" s="43"/>
      <c r="G50" s="43"/>
      <c r="H50" s="43"/>
      <c r="I50" s="43"/>
      <c r="J50" s="43"/>
      <c r="K50" s="1"/>
    </row>
    <row r="51" spans="1:11" ht="31.95" customHeight="1">
      <c r="A51" s="1"/>
      <c r="B51" s="43"/>
      <c r="C51" s="43"/>
      <c r="D51" s="43"/>
      <c r="E51" s="43"/>
      <c r="F51" s="43"/>
      <c r="G51" s="43"/>
      <c r="H51" s="43"/>
      <c r="I51" s="43"/>
      <c r="J51" s="43"/>
      <c r="K51" s="1"/>
    </row>
    <row r="52" spans="1:11" ht="31.95" customHeight="1">
      <c r="A52" s="1"/>
      <c r="B52" s="43"/>
      <c r="C52" s="43"/>
      <c r="D52" s="43"/>
      <c r="E52" s="43"/>
      <c r="F52" s="43"/>
      <c r="G52" s="43"/>
      <c r="H52" s="43"/>
      <c r="I52" s="43"/>
      <c r="J52" s="43"/>
      <c r="K52" s="1"/>
    </row>
    <row r="53" spans="1:11" ht="31.95" customHeight="1">
      <c r="A53" s="1"/>
      <c r="B53" s="43"/>
      <c r="C53" s="43"/>
      <c r="D53" s="43"/>
      <c r="E53" s="43"/>
      <c r="F53" s="43"/>
      <c r="G53" s="43"/>
      <c r="H53" s="43"/>
      <c r="I53" s="43"/>
      <c r="J53" s="43"/>
      <c r="K53" s="1"/>
    </row>
    <row r="54" spans="1:11">
      <c r="A54" s="1"/>
      <c r="B54" s="1"/>
      <c r="C54" s="1"/>
      <c r="D54" s="1"/>
      <c r="E54" s="1"/>
      <c r="F54" s="1"/>
      <c r="G54" s="1"/>
      <c r="H54" s="1"/>
      <c r="I54" s="1"/>
      <c r="J54" s="1"/>
      <c r="K54" s="1"/>
    </row>
    <row r="55" spans="1:11">
      <c r="A55" s="1"/>
      <c r="B55" s="1"/>
      <c r="C55" s="1"/>
      <c r="D55" s="1"/>
      <c r="E55" s="1"/>
      <c r="F55" s="1"/>
      <c r="G55" s="1"/>
      <c r="H55" s="1"/>
      <c r="I55" s="1"/>
      <c r="J55" s="1"/>
      <c r="K55" s="1"/>
    </row>
    <row r="56" spans="1:11">
      <c r="A56" s="1"/>
      <c r="B56" s="1"/>
      <c r="C56" s="1"/>
      <c r="D56" s="1"/>
      <c r="E56" s="1"/>
      <c r="F56" s="1"/>
      <c r="G56" s="1"/>
      <c r="H56" s="1"/>
      <c r="I56" s="1"/>
      <c r="J56" s="1"/>
      <c r="K56" s="1"/>
    </row>
    <row r="57" spans="1:11">
      <c r="A57" s="1"/>
      <c r="B57" s="1"/>
      <c r="C57" s="1"/>
      <c r="D57" s="1"/>
      <c r="E57" s="1"/>
      <c r="F57" s="1"/>
      <c r="G57" s="1"/>
      <c r="H57" s="1"/>
      <c r="I57" s="1"/>
      <c r="J57" s="1"/>
      <c r="K57" s="1"/>
    </row>
  </sheetData>
  <mergeCells count="17">
    <mergeCell ref="B2:J2"/>
    <mergeCell ref="B3:J3"/>
    <mergeCell ref="B4:J4"/>
    <mergeCell ref="B7:F7"/>
    <mergeCell ref="B15:F15"/>
    <mergeCell ref="B20:G20"/>
    <mergeCell ref="B21:D21"/>
    <mergeCell ref="E21:G21"/>
    <mergeCell ref="B23:D23"/>
    <mergeCell ref="E23:G23"/>
    <mergeCell ref="B43:J45"/>
    <mergeCell ref="B48:J48"/>
    <mergeCell ref="B49:J53"/>
    <mergeCell ref="B25:D25"/>
    <mergeCell ref="E25:G25"/>
    <mergeCell ref="B28:G28"/>
    <mergeCell ref="B42:J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2"/>
  <sheetViews>
    <sheetView showGridLines="0" topLeftCell="A33" workbookViewId="0">
      <selection activeCell="J44" sqref="J44"/>
    </sheetView>
  </sheetViews>
  <sheetFormatPr baseColWidth="10" defaultColWidth="8.796875" defaultRowHeight="13.8"/>
  <cols>
    <col min="1" max="1" width="3" customWidth="1"/>
    <col min="2" max="2" width="37" customWidth="1"/>
    <col min="3" max="3" width="18" customWidth="1"/>
    <col min="4" max="4" width="4" customWidth="1"/>
    <col min="5" max="7" width="20" customWidth="1"/>
    <col min="8" max="8" width="4" customWidth="1"/>
    <col min="9" max="11" width="3" customWidth="1"/>
  </cols>
  <sheetData>
    <row r="1" spans="1:11">
      <c r="A1" s="1"/>
      <c r="B1" s="1"/>
      <c r="C1" s="1"/>
      <c r="D1" s="1"/>
      <c r="E1" s="1"/>
      <c r="F1" s="1"/>
      <c r="G1" s="1"/>
      <c r="H1" s="1"/>
      <c r="I1" s="1"/>
      <c r="J1" s="1"/>
      <c r="K1" s="1"/>
    </row>
    <row r="2" spans="1:11" ht="45.3" customHeight="1">
      <c r="A2" s="1"/>
      <c r="B2" s="30" t="s">
        <v>46</v>
      </c>
      <c r="C2" s="30"/>
      <c r="D2" s="30"/>
      <c r="E2" s="30"/>
      <c r="F2" s="30"/>
      <c r="G2" s="30"/>
      <c r="H2" s="1"/>
      <c r="I2" s="1"/>
      <c r="J2" s="1"/>
      <c r="K2" s="1"/>
    </row>
    <row r="3" spans="1:11" ht="30.75" customHeight="1">
      <c r="A3" s="1"/>
      <c r="B3" s="31" t="s">
        <v>47</v>
      </c>
      <c r="C3" s="31"/>
      <c r="D3" s="31"/>
      <c r="E3" s="31"/>
      <c r="F3" s="31"/>
      <c r="G3" s="31"/>
      <c r="H3" s="1"/>
      <c r="I3" s="1"/>
      <c r="J3" s="1"/>
      <c r="K3" s="1"/>
    </row>
    <row r="4" spans="1:11" ht="6.75" customHeight="1">
      <c r="A4" s="1"/>
      <c r="B4" s="21"/>
      <c r="C4" s="21"/>
      <c r="D4" s="21"/>
      <c r="E4" s="21"/>
      <c r="F4" s="21"/>
      <c r="G4" s="21"/>
      <c r="H4" s="1"/>
      <c r="I4" s="1"/>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4" t="s">
        <v>48</v>
      </c>
      <c r="C7" s="14"/>
      <c r="D7" s="1"/>
      <c r="E7" s="1"/>
      <c r="F7" s="1"/>
      <c r="G7" s="1"/>
      <c r="H7" s="1"/>
      <c r="I7" s="1"/>
      <c r="J7" s="1"/>
      <c r="K7" s="1"/>
    </row>
    <row r="8" spans="1:11" ht="37.200000000000003" customHeight="1">
      <c r="A8" s="1"/>
      <c r="B8" s="4" t="s">
        <v>49</v>
      </c>
      <c r="C8" s="4" t="s">
        <v>50</v>
      </c>
      <c r="D8" s="1"/>
      <c r="E8" s="1"/>
      <c r="F8" s="1"/>
      <c r="G8" s="1"/>
      <c r="H8" s="1"/>
      <c r="I8" s="1"/>
      <c r="J8" s="1"/>
      <c r="K8" s="1"/>
    </row>
    <row r="9" spans="1:11">
      <c r="A9" s="1"/>
      <c r="B9" s="5" t="s">
        <v>51</v>
      </c>
      <c r="C9" s="7">
        <v>5100</v>
      </c>
      <c r="D9" s="1"/>
      <c r="E9" s="1"/>
      <c r="F9" s="1"/>
      <c r="G9" s="1"/>
      <c r="H9" s="1"/>
      <c r="I9" s="1"/>
      <c r="J9" s="1"/>
      <c r="K9" s="1"/>
    </row>
    <row r="10" spans="1:11">
      <c r="A10" s="1"/>
      <c r="B10" s="5" t="s">
        <v>52</v>
      </c>
      <c r="C10" s="7">
        <v>1150</v>
      </c>
      <c r="D10" s="1"/>
      <c r="E10" s="1"/>
      <c r="F10" s="1"/>
      <c r="G10" s="1"/>
      <c r="H10" s="1"/>
      <c r="I10" s="1"/>
      <c r="J10" s="1"/>
      <c r="K10" s="1"/>
    </row>
    <row r="11" spans="1:11">
      <c r="A11" s="1"/>
      <c r="B11" s="5" t="s">
        <v>53</v>
      </c>
      <c r="C11" s="7">
        <v>1700</v>
      </c>
      <c r="D11" s="1"/>
      <c r="E11" s="1"/>
      <c r="F11" s="1"/>
      <c r="G11" s="1"/>
      <c r="H11" s="1"/>
      <c r="I11" s="1"/>
      <c r="J11" s="1"/>
      <c r="K11" s="1"/>
    </row>
    <row r="12" spans="1:11">
      <c r="A12" s="1"/>
      <c r="B12" s="5" t="s">
        <v>54</v>
      </c>
      <c r="C12" s="7">
        <v>-120</v>
      </c>
      <c r="D12" s="1"/>
      <c r="E12" s="1"/>
      <c r="F12" s="1"/>
      <c r="G12" s="1"/>
      <c r="H12" s="1"/>
      <c r="I12" s="1"/>
      <c r="J12" s="1"/>
      <c r="K12" s="1"/>
    </row>
    <row r="13" spans="1:11">
      <c r="A13" s="1"/>
      <c r="B13" s="5" t="s">
        <v>55</v>
      </c>
      <c r="C13" s="7">
        <v>1250</v>
      </c>
      <c r="D13" s="1"/>
      <c r="E13" s="1"/>
      <c r="F13" s="1"/>
      <c r="G13" s="1"/>
      <c r="H13" s="1"/>
      <c r="I13" s="1"/>
      <c r="J13" s="1"/>
      <c r="K13" s="1"/>
    </row>
    <row r="14" spans="1:11">
      <c r="A14" s="1"/>
      <c r="B14" s="5" t="s">
        <v>56</v>
      </c>
      <c r="C14" s="7">
        <v>1640</v>
      </c>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ht="30.75" customHeight="1">
      <c r="A17" s="1"/>
      <c r="B17" s="14" t="s">
        <v>57</v>
      </c>
      <c r="C17" s="14"/>
      <c r="D17" s="14"/>
      <c r="E17" s="14"/>
      <c r="F17" s="14"/>
      <c r="G17" s="14"/>
      <c r="H17" s="1"/>
      <c r="I17" s="1"/>
      <c r="J17" s="1"/>
      <c r="K17" s="1"/>
    </row>
    <row r="18" spans="1:11" ht="33.299999999999997" customHeight="1">
      <c r="A18" s="1"/>
      <c r="B18" s="26" t="s">
        <v>58</v>
      </c>
      <c r="C18" s="26"/>
      <c r="D18" s="26"/>
      <c r="E18" s="44">
        <f>C11+(C12)</f>
        <v>1580</v>
      </c>
      <c r="F18" s="27"/>
      <c r="G18" s="27"/>
      <c r="H18" s="1"/>
      <c r="I18" s="1"/>
      <c r="J18" s="1"/>
      <c r="K18" s="1"/>
    </row>
    <row r="19" spans="1:11">
      <c r="A19" s="1"/>
      <c r="B19" s="1"/>
      <c r="C19" s="1"/>
      <c r="D19" s="1"/>
      <c r="E19" s="1"/>
      <c r="F19" s="1"/>
      <c r="G19" s="1"/>
      <c r="H19" s="1"/>
      <c r="I19" s="1"/>
      <c r="J19" s="1"/>
      <c r="K19" s="1"/>
    </row>
    <row r="20" spans="1:11" ht="33.299999999999997" customHeight="1">
      <c r="A20" s="1"/>
      <c r="B20" s="26" t="s">
        <v>59</v>
      </c>
      <c r="C20" s="26"/>
      <c r="D20" s="26"/>
      <c r="E20" s="44">
        <f>(C13-C14)</f>
        <v>-390</v>
      </c>
      <c r="F20" s="27"/>
      <c r="G20" s="27"/>
      <c r="H20" s="1"/>
      <c r="I20" s="1"/>
      <c r="J20" s="1"/>
      <c r="K20" s="1"/>
    </row>
    <row r="21" spans="1:11">
      <c r="A21" s="1"/>
      <c r="B21" s="1"/>
      <c r="C21" s="1"/>
      <c r="D21" s="1"/>
      <c r="E21" s="1"/>
      <c r="F21" s="1"/>
      <c r="G21" s="1"/>
      <c r="H21" s="1"/>
      <c r="I21" s="1"/>
      <c r="J21" s="1"/>
      <c r="K21" s="1"/>
    </row>
    <row r="22" spans="1:11" ht="33.299999999999997" customHeight="1">
      <c r="A22" s="1"/>
      <c r="B22" s="26" t="s">
        <v>60</v>
      </c>
      <c r="C22" s="26"/>
      <c r="D22" s="26"/>
      <c r="E22" s="44">
        <f>C9+C10+E18+E20</f>
        <v>7440</v>
      </c>
      <c r="F22" s="27"/>
      <c r="G22" s="27"/>
      <c r="H22" s="1"/>
      <c r="I22" s="1"/>
      <c r="J22" s="1"/>
      <c r="K22" s="1"/>
    </row>
    <row r="23" spans="1:11">
      <c r="A23" s="1"/>
      <c r="B23" s="1"/>
      <c r="C23" s="1"/>
      <c r="D23" s="1"/>
      <c r="E23" s="1"/>
      <c r="F23" s="1"/>
      <c r="G23" s="1"/>
      <c r="H23" s="1"/>
      <c r="I23" s="1"/>
      <c r="J23" s="1"/>
      <c r="K23" s="1"/>
    </row>
    <row r="24" spans="1:11" ht="33.299999999999997" customHeight="1">
      <c r="A24" s="1"/>
      <c r="B24" s="26" t="s">
        <v>61</v>
      </c>
      <c r="C24" s="26"/>
      <c r="D24" s="26"/>
      <c r="E24" s="44">
        <f>(C9+250)+C10+E18+E20</f>
        <v>7690</v>
      </c>
      <c r="F24" s="27"/>
      <c r="G24" s="27"/>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4" t="s">
        <v>42</v>
      </c>
      <c r="C27" s="14"/>
      <c r="D27" s="14"/>
      <c r="E27" s="14"/>
      <c r="F27" s="14"/>
      <c r="G27" s="14"/>
      <c r="H27" s="1"/>
      <c r="I27" s="1"/>
      <c r="J27" s="1"/>
      <c r="K27" s="1"/>
    </row>
    <row r="28" spans="1:11">
      <c r="A28" s="1"/>
      <c r="B28" s="28" t="s">
        <v>141</v>
      </c>
      <c r="C28" s="28"/>
      <c r="D28" s="28"/>
      <c r="E28" s="28"/>
      <c r="F28" s="28"/>
      <c r="G28" s="28"/>
      <c r="H28" s="1"/>
      <c r="I28" s="1"/>
      <c r="J28" s="1"/>
      <c r="K28" s="1"/>
    </row>
    <row r="29" spans="1:11">
      <c r="A29" s="1"/>
      <c r="B29" s="28"/>
      <c r="C29" s="28"/>
      <c r="D29" s="28"/>
      <c r="E29" s="28"/>
      <c r="F29" s="28"/>
      <c r="G29" s="28"/>
      <c r="H29" s="1"/>
      <c r="I29" s="1"/>
      <c r="J29" s="1"/>
      <c r="K29" s="1"/>
    </row>
    <row r="30" spans="1:11">
      <c r="A30" s="1"/>
      <c r="B30" s="28"/>
      <c r="C30" s="28"/>
      <c r="D30" s="28"/>
      <c r="E30" s="28"/>
      <c r="F30" s="28"/>
      <c r="G30" s="28"/>
      <c r="H30" s="1"/>
      <c r="I30" s="1"/>
      <c r="J30" s="1"/>
      <c r="K30" s="1"/>
    </row>
    <row r="31" spans="1:11">
      <c r="A31" s="1"/>
      <c r="B31" s="28"/>
      <c r="C31" s="28"/>
      <c r="D31" s="28"/>
      <c r="E31" s="28"/>
      <c r="F31" s="28"/>
      <c r="G31" s="28"/>
      <c r="H31" s="1"/>
      <c r="I31" s="1"/>
      <c r="J31" s="1"/>
      <c r="K31" s="1"/>
    </row>
    <row r="32" spans="1:11" ht="59.4" customHeight="1">
      <c r="A32" s="1"/>
      <c r="B32" s="28"/>
      <c r="C32" s="28"/>
      <c r="D32" s="28"/>
      <c r="E32" s="28"/>
      <c r="F32" s="28"/>
      <c r="G32" s="28"/>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29" t="s">
        <v>62</v>
      </c>
      <c r="C35" s="29"/>
      <c r="D35" s="29"/>
      <c r="E35" s="29"/>
      <c r="F35" s="29"/>
      <c r="G35" s="29"/>
      <c r="H35" s="1"/>
      <c r="I35" s="1"/>
      <c r="J35" s="1"/>
      <c r="K35" s="1"/>
    </row>
    <row r="36" spans="1:11">
      <c r="A36" s="1"/>
      <c r="B36" s="23" t="s">
        <v>63</v>
      </c>
      <c r="C36" s="23"/>
      <c r="D36" s="23"/>
      <c r="E36" s="23"/>
      <c r="F36" s="23"/>
      <c r="G36" s="23"/>
      <c r="H36" s="1"/>
      <c r="I36" s="1"/>
      <c r="J36" s="1"/>
      <c r="K36" s="1"/>
    </row>
    <row r="37" spans="1:11">
      <c r="A37" s="1"/>
      <c r="B37" s="23"/>
      <c r="C37" s="23"/>
      <c r="D37" s="23"/>
      <c r="E37" s="23"/>
      <c r="F37" s="23"/>
      <c r="G37" s="23"/>
      <c r="H37" s="1"/>
      <c r="I37" s="1"/>
      <c r="J37" s="1"/>
      <c r="K37" s="1"/>
    </row>
    <row r="38" spans="1:11">
      <c r="A38" s="1"/>
      <c r="B38" s="23"/>
      <c r="C38" s="23"/>
      <c r="D38" s="23"/>
      <c r="E38" s="23"/>
      <c r="F38" s="23"/>
      <c r="G38" s="23"/>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c r="A41" s="1"/>
      <c r="B41" s="24" t="s">
        <v>64</v>
      </c>
      <c r="C41" s="24"/>
      <c r="D41" s="24"/>
      <c r="E41" s="24"/>
      <c r="F41" s="24"/>
      <c r="G41" s="24"/>
      <c r="H41" s="1"/>
      <c r="I41" s="1"/>
      <c r="J41" s="1"/>
      <c r="K41" s="1"/>
    </row>
    <row r="42" spans="1:11" ht="31.95" customHeight="1">
      <c r="A42" s="1"/>
      <c r="B42" s="25" t="s">
        <v>142</v>
      </c>
      <c r="C42" s="25"/>
      <c r="D42" s="25"/>
      <c r="E42" s="25"/>
      <c r="F42" s="25"/>
      <c r="G42" s="25"/>
      <c r="H42" s="1"/>
      <c r="I42" s="1"/>
      <c r="J42" s="1"/>
      <c r="K42" s="1"/>
    </row>
    <row r="43" spans="1:11" ht="31.95" customHeight="1">
      <c r="A43" s="1"/>
      <c r="B43" s="25"/>
      <c r="C43" s="25"/>
      <c r="D43" s="25"/>
      <c r="E43" s="25"/>
      <c r="F43" s="25"/>
      <c r="G43" s="25"/>
      <c r="H43" s="1"/>
      <c r="I43" s="1"/>
      <c r="J43" s="1"/>
      <c r="K43" s="1"/>
    </row>
    <row r="44" spans="1:11" ht="31.95" customHeight="1">
      <c r="A44" s="1"/>
      <c r="B44" s="25"/>
      <c r="C44" s="25"/>
      <c r="D44" s="25"/>
      <c r="E44" s="25"/>
      <c r="F44" s="25"/>
      <c r="G44" s="25"/>
      <c r="H44" s="1"/>
      <c r="I44" s="1"/>
      <c r="J44" s="1"/>
      <c r="K44" s="1"/>
    </row>
    <row r="45" spans="1:11" ht="31.95" customHeight="1">
      <c r="A45" s="1"/>
      <c r="B45" s="25"/>
      <c r="C45" s="25"/>
      <c r="D45" s="25"/>
      <c r="E45" s="25"/>
      <c r="F45" s="25"/>
      <c r="G45" s="25"/>
      <c r="H45" s="1"/>
      <c r="I45" s="1"/>
      <c r="J45" s="1"/>
      <c r="K45" s="1"/>
    </row>
    <row r="46" spans="1:11" ht="31.95" customHeight="1">
      <c r="A46" s="1"/>
      <c r="B46" s="25"/>
      <c r="C46" s="25"/>
      <c r="D46" s="25"/>
      <c r="E46" s="25"/>
      <c r="F46" s="25"/>
      <c r="G46" s="25"/>
      <c r="H46" s="1"/>
      <c r="I46" s="1"/>
      <c r="J46" s="1"/>
      <c r="K46" s="1"/>
    </row>
    <row r="47" spans="1:11" ht="31.95" customHeight="1">
      <c r="A47" s="1"/>
      <c r="B47" s="25"/>
      <c r="C47" s="25"/>
      <c r="D47" s="25"/>
      <c r="E47" s="25"/>
      <c r="F47" s="25"/>
      <c r="G47" s="25"/>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9">
    <mergeCell ref="B2:G2"/>
    <mergeCell ref="B3:G3"/>
    <mergeCell ref="B4:G4"/>
    <mergeCell ref="B7:C7"/>
    <mergeCell ref="B17:G17"/>
    <mergeCell ref="B18:D18"/>
    <mergeCell ref="E18:G18"/>
    <mergeCell ref="B20:D20"/>
    <mergeCell ref="E20:G20"/>
    <mergeCell ref="B22:D22"/>
    <mergeCell ref="E22:G22"/>
    <mergeCell ref="B36:G38"/>
    <mergeCell ref="B41:G41"/>
    <mergeCell ref="B42:G47"/>
    <mergeCell ref="B24:D24"/>
    <mergeCell ref="E24:G24"/>
    <mergeCell ref="B27:G27"/>
    <mergeCell ref="B28:G32"/>
    <mergeCell ref="B35:G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2"/>
  <sheetViews>
    <sheetView showGridLines="0" topLeftCell="A26" zoomScale="80" zoomScaleNormal="80" workbookViewId="0">
      <selection activeCell="L36" sqref="L36"/>
    </sheetView>
  </sheetViews>
  <sheetFormatPr baseColWidth="10" defaultColWidth="8.796875" defaultRowHeight="13.8"/>
  <cols>
    <col min="1" max="1" width="3" customWidth="1"/>
    <col min="2" max="2" width="39" customWidth="1"/>
    <col min="3" max="3" width="18" customWidth="1"/>
    <col min="4" max="4" width="20" customWidth="1"/>
    <col min="5" max="5" width="4" customWidth="1"/>
    <col min="6" max="9" width="22" customWidth="1"/>
    <col min="10" max="11" width="3" customWidth="1"/>
  </cols>
  <sheetData>
    <row r="1" spans="1:11">
      <c r="A1" s="1"/>
      <c r="B1" s="1"/>
      <c r="C1" s="1"/>
      <c r="D1" s="1"/>
      <c r="E1" s="1"/>
      <c r="F1" s="1"/>
      <c r="G1" s="1"/>
      <c r="H1" s="1"/>
      <c r="I1" s="1"/>
      <c r="J1" s="1"/>
      <c r="K1" s="1"/>
    </row>
    <row r="2" spans="1:11" ht="45.3" customHeight="1">
      <c r="A2" s="1"/>
      <c r="B2" s="30" t="s">
        <v>65</v>
      </c>
      <c r="C2" s="30"/>
      <c r="D2" s="30"/>
      <c r="E2" s="30"/>
      <c r="F2" s="30"/>
      <c r="G2" s="30"/>
      <c r="H2" s="30"/>
      <c r="I2" s="30"/>
      <c r="J2" s="1"/>
      <c r="K2" s="1"/>
    </row>
    <row r="3" spans="1:11" ht="30.75" customHeight="1">
      <c r="A3" s="1"/>
      <c r="B3" s="31" t="s">
        <v>66</v>
      </c>
      <c r="C3" s="31"/>
      <c r="D3" s="31"/>
      <c r="E3" s="31"/>
      <c r="F3" s="31"/>
      <c r="G3" s="31"/>
      <c r="H3" s="31"/>
      <c r="I3" s="31"/>
      <c r="J3" s="1"/>
      <c r="K3" s="1"/>
    </row>
    <row r="4" spans="1:11" ht="6.75" customHeight="1">
      <c r="A4" s="1"/>
      <c r="B4" s="21"/>
      <c r="C4" s="21"/>
      <c r="D4" s="21"/>
      <c r="E4" s="21"/>
      <c r="F4" s="21"/>
      <c r="G4" s="21"/>
      <c r="H4" s="21"/>
      <c r="I4" s="21"/>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4" t="s">
        <v>67</v>
      </c>
      <c r="C7" s="14"/>
      <c r="D7" s="14"/>
      <c r="E7" s="1"/>
      <c r="F7" s="1"/>
      <c r="G7" s="1"/>
      <c r="H7" s="1"/>
      <c r="I7" s="1"/>
      <c r="J7" s="1"/>
      <c r="K7" s="1"/>
    </row>
    <row r="8" spans="1:11" ht="37.200000000000003" customHeight="1">
      <c r="A8" s="1"/>
      <c r="B8" s="4" t="s">
        <v>68</v>
      </c>
      <c r="C8" s="4" t="s">
        <v>50</v>
      </c>
      <c r="D8" s="4" t="s">
        <v>69</v>
      </c>
      <c r="E8" s="1"/>
      <c r="F8" s="1"/>
      <c r="G8" s="1"/>
      <c r="H8" s="1"/>
      <c r="I8" s="1"/>
      <c r="J8" s="1"/>
      <c r="K8" s="1"/>
    </row>
    <row r="9" spans="1:11">
      <c r="A9" s="1"/>
      <c r="B9" s="5" t="s">
        <v>70</v>
      </c>
      <c r="C9" s="6">
        <v>4250</v>
      </c>
      <c r="D9" s="38">
        <f>(C9/$E$19)*1</f>
        <v>0.54347826086956519</v>
      </c>
      <c r="E9" s="1"/>
      <c r="F9" s="1"/>
      <c r="G9" s="1"/>
      <c r="H9" s="1"/>
      <c r="I9" s="1"/>
      <c r="J9" s="1"/>
      <c r="K9" s="1"/>
    </row>
    <row r="10" spans="1:11">
      <c r="A10" s="1"/>
      <c r="B10" s="5" t="s">
        <v>71</v>
      </c>
      <c r="C10" s="6">
        <v>2100</v>
      </c>
      <c r="D10" s="38">
        <f t="shared" ref="D10:D13" si="0">(C10/$E$19)*1</f>
        <v>0.26854219948849106</v>
      </c>
      <c r="E10" s="1"/>
      <c r="F10" s="1"/>
      <c r="G10" s="1"/>
      <c r="H10" s="1"/>
      <c r="I10" s="1"/>
      <c r="J10" s="1"/>
      <c r="K10" s="1"/>
    </row>
    <row r="11" spans="1:11">
      <c r="A11" s="1"/>
      <c r="B11" s="5" t="s">
        <v>72</v>
      </c>
      <c r="C11" s="6">
        <v>960</v>
      </c>
      <c r="D11" s="38">
        <f t="shared" si="0"/>
        <v>0.12276214833759591</v>
      </c>
      <c r="E11" s="1"/>
      <c r="F11" s="1"/>
      <c r="G11" s="1"/>
      <c r="H11" s="1"/>
      <c r="I11" s="1"/>
      <c r="J11" s="1"/>
      <c r="K11" s="1"/>
    </row>
    <row r="12" spans="1:11">
      <c r="A12" s="1"/>
      <c r="B12" s="5" t="s">
        <v>73</v>
      </c>
      <c r="C12" s="6">
        <v>620</v>
      </c>
      <c r="D12" s="38">
        <f t="shared" si="0"/>
        <v>7.9283887468030695E-2</v>
      </c>
      <c r="E12" s="1"/>
      <c r="F12" s="1"/>
      <c r="G12" s="1"/>
      <c r="H12" s="1"/>
      <c r="I12" s="1"/>
      <c r="J12" s="1"/>
      <c r="K12" s="1"/>
    </row>
    <row r="13" spans="1:11">
      <c r="A13" s="1"/>
      <c r="B13" s="5" t="s">
        <v>74</v>
      </c>
      <c r="C13" s="6">
        <v>110</v>
      </c>
      <c r="D13" s="38">
        <f t="shared" si="0"/>
        <v>1.4066496163682864E-2</v>
      </c>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ht="30.75" customHeight="1">
      <c r="A16" s="1"/>
      <c r="B16" s="14" t="s">
        <v>57</v>
      </c>
      <c r="C16" s="14"/>
      <c r="D16" s="14"/>
      <c r="E16" s="14"/>
      <c r="F16" s="14"/>
      <c r="G16" s="14"/>
      <c r="H16" s="1"/>
      <c r="I16" s="1"/>
      <c r="J16" s="1"/>
      <c r="K16" s="1"/>
    </row>
    <row r="17" spans="1:11" ht="33.299999999999997" customHeight="1">
      <c r="A17" s="1"/>
      <c r="B17" s="26" t="s">
        <v>75</v>
      </c>
      <c r="C17" s="26"/>
      <c r="D17" s="26"/>
      <c r="E17" s="42">
        <f>C12-C13</f>
        <v>510</v>
      </c>
      <c r="F17" s="27"/>
      <c r="G17" s="27"/>
      <c r="H17" s="1"/>
      <c r="I17" s="1"/>
      <c r="J17" s="1"/>
      <c r="K17" s="1"/>
    </row>
    <row r="18" spans="1:11">
      <c r="A18" s="1"/>
      <c r="B18" s="1"/>
      <c r="C18" s="1"/>
      <c r="D18" s="1"/>
      <c r="E18" s="1"/>
      <c r="F18" s="1"/>
      <c r="G18" s="1"/>
      <c r="H18" s="1"/>
      <c r="I18" s="1"/>
      <c r="J18" s="1"/>
      <c r="K18" s="1"/>
    </row>
    <row r="19" spans="1:11" ht="33.299999999999997" customHeight="1">
      <c r="A19" s="1"/>
      <c r="B19" s="26" t="s">
        <v>76</v>
      </c>
      <c r="C19" s="26"/>
      <c r="D19" s="26"/>
      <c r="E19" s="42">
        <f>C9+C10+C11+E17</f>
        <v>7820</v>
      </c>
      <c r="F19" s="27"/>
      <c r="G19" s="27"/>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4" t="s">
        <v>42</v>
      </c>
      <c r="C22" s="14"/>
      <c r="D22" s="14"/>
      <c r="E22" s="14"/>
      <c r="F22" s="14"/>
      <c r="G22" s="14"/>
      <c r="H22" s="1"/>
      <c r="I22" s="1"/>
      <c r="J22" s="1"/>
      <c r="K22" s="1"/>
    </row>
    <row r="23" spans="1:11">
      <c r="A23" s="1"/>
      <c r="B23" s="28" t="s">
        <v>143</v>
      </c>
      <c r="C23" s="28"/>
      <c r="D23" s="28"/>
      <c r="E23" s="28"/>
      <c r="F23" s="28"/>
      <c r="G23" s="28"/>
      <c r="H23" s="1"/>
      <c r="I23" s="1"/>
      <c r="J23" s="1"/>
      <c r="K23" s="1"/>
    </row>
    <row r="24" spans="1:11">
      <c r="A24" s="1"/>
      <c r="B24" s="28"/>
      <c r="C24" s="28"/>
      <c r="D24" s="28"/>
      <c r="E24" s="28"/>
      <c r="F24" s="28"/>
      <c r="G24" s="28"/>
      <c r="H24" s="1"/>
      <c r="I24" s="1"/>
      <c r="J24" s="1"/>
      <c r="K24" s="1"/>
    </row>
    <row r="25" spans="1:11">
      <c r="A25" s="1"/>
      <c r="B25" s="28"/>
      <c r="C25" s="28"/>
      <c r="D25" s="28"/>
      <c r="E25" s="28"/>
      <c r="F25" s="28"/>
      <c r="G25" s="28"/>
      <c r="H25" s="1"/>
      <c r="I25" s="1"/>
      <c r="J25" s="1"/>
      <c r="K25" s="1"/>
    </row>
    <row r="26" spans="1:11">
      <c r="A26" s="1"/>
      <c r="B26" s="28"/>
      <c r="C26" s="28"/>
      <c r="D26" s="28"/>
      <c r="E26" s="28"/>
      <c r="F26" s="28"/>
      <c r="G26" s="28"/>
      <c r="H26" s="1"/>
      <c r="I26" s="1"/>
      <c r="J26" s="1"/>
      <c r="K26" s="1"/>
    </row>
    <row r="27" spans="1:11" ht="117.6" customHeight="1">
      <c r="A27" s="1"/>
      <c r="B27" s="28"/>
      <c r="C27" s="28"/>
      <c r="D27" s="28"/>
      <c r="E27" s="28"/>
      <c r="F27" s="28"/>
      <c r="G27" s="28"/>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ht="30.75" customHeight="1">
      <c r="A30" s="1"/>
      <c r="B30" s="29" t="s">
        <v>62</v>
      </c>
      <c r="C30" s="29"/>
      <c r="D30" s="29"/>
      <c r="E30" s="29"/>
      <c r="F30" s="29"/>
      <c r="G30" s="29"/>
      <c r="H30" s="29"/>
      <c r="I30" s="29"/>
      <c r="J30" s="1"/>
      <c r="K30" s="1"/>
    </row>
    <row r="31" spans="1:11">
      <c r="A31" s="1"/>
      <c r="B31" s="23" t="s">
        <v>77</v>
      </c>
      <c r="C31" s="23"/>
      <c r="D31" s="23"/>
      <c r="E31" s="23"/>
      <c r="F31" s="23"/>
      <c r="G31" s="23"/>
      <c r="H31" s="23"/>
      <c r="I31" s="23"/>
      <c r="J31" s="1"/>
      <c r="K31" s="1"/>
    </row>
    <row r="32" spans="1:11">
      <c r="A32" s="1"/>
      <c r="B32" s="23"/>
      <c r="C32" s="23"/>
      <c r="D32" s="23"/>
      <c r="E32" s="23"/>
      <c r="F32" s="23"/>
      <c r="G32" s="23"/>
      <c r="H32" s="23"/>
      <c r="I32" s="23"/>
      <c r="J32" s="1"/>
      <c r="K32" s="1"/>
    </row>
    <row r="33" spans="1:11">
      <c r="A33" s="1"/>
      <c r="B33" s="23"/>
      <c r="C33" s="23"/>
      <c r="D33" s="23"/>
      <c r="E33" s="23"/>
      <c r="F33" s="23"/>
      <c r="G33" s="23"/>
      <c r="H33" s="23"/>
      <c r="I33" s="23"/>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41.25" customHeight="1">
      <c r="A36" s="1"/>
      <c r="B36" s="24" t="s">
        <v>78</v>
      </c>
      <c r="C36" s="24"/>
      <c r="D36" s="24"/>
      <c r="E36" s="24"/>
      <c r="F36" s="24"/>
      <c r="G36" s="24"/>
      <c r="H36" s="24"/>
      <c r="I36" s="24"/>
      <c r="J36" s="1"/>
      <c r="K36" s="1"/>
    </row>
    <row r="37" spans="1:11" ht="31.95" customHeight="1">
      <c r="A37" s="1"/>
      <c r="B37" s="25" t="s">
        <v>144</v>
      </c>
      <c r="C37" s="25"/>
      <c r="D37" s="25"/>
      <c r="E37" s="25"/>
      <c r="F37" s="25"/>
      <c r="G37" s="25"/>
      <c r="H37" s="25"/>
      <c r="I37" s="25"/>
      <c r="J37" s="1"/>
      <c r="K37" s="1"/>
    </row>
    <row r="38" spans="1:11" ht="31.95" customHeight="1">
      <c r="A38" s="1"/>
      <c r="B38" s="25"/>
      <c r="C38" s="25"/>
      <c r="D38" s="25"/>
      <c r="E38" s="25"/>
      <c r="F38" s="25"/>
      <c r="G38" s="25"/>
      <c r="H38" s="25"/>
      <c r="I38" s="25"/>
      <c r="J38" s="1"/>
      <c r="K38" s="1"/>
    </row>
    <row r="39" spans="1:11" ht="31.95" customHeight="1">
      <c r="A39" s="1"/>
      <c r="B39" s="25"/>
      <c r="C39" s="25"/>
      <c r="D39" s="25"/>
      <c r="E39" s="25"/>
      <c r="F39" s="25"/>
      <c r="G39" s="25"/>
      <c r="H39" s="25"/>
      <c r="I39" s="25"/>
      <c r="J39" s="1"/>
      <c r="K39" s="1"/>
    </row>
    <row r="40" spans="1:11" ht="31.95" customHeight="1">
      <c r="A40" s="1"/>
      <c r="B40" s="25"/>
      <c r="C40" s="25"/>
      <c r="D40" s="25"/>
      <c r="E40" s="25"/>
      <c r="F40" s="25"/>
      <c r="G40" s="25"/>
      <c r="H40" s="25"/>
      <c r="I40" s="25"/>
      <c r="J40" s="1"/>
      <c r="K40" s="1"/>
    </row>
    <row r="41" spans="1:11" ht="31.95" customHeight="1">
      <c r="A41" s="1"/>
      <c r="B41" s="25"/>
      <c r="C41" s="25"/>
      <c r="D41" s="25"/>
      <c r="E41" s="25"/>
      <c r="F41" s="25"/>
      <c r="G41" s="25"/>
      <c r="H41" s="25"/>
      <c r="I41" s="25"/>
      <c r="J41" s="1"/>
      <c r="K41" s="1"/>
    </row>
    <row r="42" spans="1:11" ht="31.95" customHeight="1">
      <c r="A42" s="1"/>
      <c r="B42" s="25"/>
      <c r="C42" s="25"/>
      <c r="D42" s="25"/>
      <c r="E42" s="25"/>
      <c r="F42" s="25"/>
      <c r="G42" s="25"/>
      <c r="H42" s="25"/>
      <c r="I42" s="25"/>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5">
    <mergeCell ref="B2:I2"/>
    <mergeCell ref="B3:I3"/>
    <mergeCell ref="B4:I4"/>
    <mergeCell ref="B7:D7"/>
    <mergeCell ref="B16:G16"/>
    <mergeCell ref="B17:D17"/>
    <mergeCell ref="E17:G17"/>
    <mergeCell ref="B19:D19"/>
    <mergeCell ref="E19:G19"/>
    <mergeCell ref="B22:G22"/>
    <mergeCell ref="B23:G27"/>
    <mergeCell ref="B30:I30"/>
    <mergeCell ref="B31:I33"/>
    <mergeCell ref="B36:I36"/>
    <mergeCell ref="B37:I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showGridLines="0" topLeftCell="A34" zoomScale="70" zoomScaleNormal="70" workbookViewId="0">
      <selection activeCell="M54" sqref="M54"/>
    </sheetView>
  </sheetViews>
  <sheetFormatPr baseColWidth="10" defaultColWidth="8.796875" defaultRowHeight="13.8"/>
  <cols>
    <col min="1" max="1" width="3" customWidth="1"/>
    <col min="2" max="2" width="29" customWidth="1"/>
    <col min="3" max="3" width="17" customWidth="1"/>
    <col min="4" max="4" width="4" customWidth="1"/>
    <col min="5" max="5" width="31" customWidth="1"/>
    <col min="6" max="6" width="17" customWidth="1"/>
    <col min="7" max="7" width="4" customWidth="1"/>
    <col min="8" max="10" width="20" customWidth="1"/>
    <col min="11" max="11" width="3" customWidth="1"/>
  </cols>
  <sheetData>
    <row r="1" spans="1:11">
      <c r="A1" s="1"/>
      <c r="B1" s="1"/>
      <c r="C1" s="1"/>
      <c r="D1" s="1"/>
      <c r="E1" s="1"/>
      <c r="F1" s="1"/>
      <c r="G1" s="1"/>
      <c r="H1" s="1"/>
      <c r="I1" s="1"/>
      <c r="J1" s="1"/>
      <c r="K1" s="1"/>
    </row>
    <row r="2" spans="1:11" ht="45.3" customHeight="1">
      <c r="A2" s="1"/>
      <c r="B2" s="30" t="s">
        <v>79</v>
      </c>
      <c r="C2" s="30"/>
      <c r="D2" s="30"/>
      <c r="E2" s="30"/>
      <c r="F2" s="30"/>
      <c r="G2" s="30"/>
      <c r="H2" s="30"/>
      <c r="I2" s="30"/>
      <c r="J2" s="30"/>
      <c r="K2" s="1"/>
    </row>
    <row r="3" spans="1:11" ht="30.75" customHeight="1">
      <c r="A3" s="1"/>
      <c r="B3" s="31" t="s">
        <v>80</v>
      </c>
      <c r="C3" s="31"/>
      <c r="D3" s="31"/>
      <c r="E3" s="31"/>
      <c r="F3" s="31"/>
      <c r="G3" s="31"/>
      <c r="H3" s="31"/>
      <c r="I3" s="31"/>
      <c r="J3" s="31"/>
      <c r="K3" s="1"/>
    </row>
    <row r="4" spans="1:11" ht="6.75" customHeight="1">
      <c r="A4" s="1"/>
      <c r="B4" s="21"/>
      <c r="C4" s="21"/>
      <c r="D4" s="21"/>
      <c r="E4" s="21"/>
      <c r="F4" s="21"/>
      <c r="G4" s="21"/>
      <c r="H4" s="21"/>
      <c r="I4" s="21"/>
      <c r="J4" s="2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4" t="s">
        <v>81</v>
      </c>
      <c r="C7" s="14"/>
      <c r="D7" s="14"/>
      <c r="E7" s="14"/>
      <c r="F7" s="14"/>
      <c r="G7" s="14"/>
      <c r="H7" s="14"/>
      <c r="I7" s="14"/>
      <c r="J7" s="14"/>
      <c r="K7" s="1"/>
    </row>
    <row r="8" spans="1:11">
      <c r="A8" s="1"/>
      <c r="B8" s="32" t="s">
        <v>82</v>
      </c>
      <c r="C8" s="32"/>
      <c r="D8" s="32"/>
      <c r="E8" s="32"/>
      <c r="F8" s="33" t="s">
        <v>83</v>
      </c>
      <c r="G8" s="33"/>
      <c r="H8" s="33"/>
      <c r="I8" s="33"/>
      <c r="J8" s="33"/>
      <c r="K8" s="1"/>
    </row>
    <row r="9" spans="1:11">
      <c r="A9" s="1"/>
      <c r="B9" s="32"/>
      <c r="C9" s="32"/>
      <c r="D9" s="32"/>
      <c r="E9" s="32"/>
      <c r="F9" s="33"/>
      <c r="G9" s="33"/>
      <c r="H9" s="33"/>
      <c r="I9" s="33"/>
      <c r="J9" s="33"/>
      <c r="K9" s="1"/>
    </row>
    <row r="10" spans="1:11">
      <c r="A10" s="1"/>
      <c r="B10" s="32"/>
      <c r="C10" s="32"/>
      <c r="D10" s="32"/>
      <c r="E10" s="32"/>
      <c r="F10" s="33"/>
      <c r="G10" s="33"/>
      <c r="H10" s="33"/>
      <c r="I10" s="33"/>
      <c r="J10" s="33"/>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4" t="s">
        <v>84</v>
      </c>
      <c r="C13" s="14"/>
      <c r="D13" s="1"/>
      <c r="E13" s="14" t="s">
        <v>85</v>
      </c>
      <c r="F13" s="14"/>
      <c r="G13" s="1"/>
      <c r="H13" s="1"/>
      <c r="I13" s="1"/>
      <c r="J13" s="1"/>
      <c r="K13" s="1"/>
    </row>
    <row r="14" spans="1:11" ht="37.200000000000003" customHeight="1">
      <c r="A14" s="1"/>
      <c r="B14" s="4" t="s">
        <v>49</v>
      </c>
      <c r="C14" s="4" t="s">
        <v>50</v>
      </c>
      <c r="D14" s="1"/>
      <c r="E14" s="4" t="s">
        <v>49</v>
      </c>
      <c r="F14" s="4" t="s">
        <v>50</v>
      </c>
      <c r="G14" s="1"/>
      <c r="H14" s="1"/>
      <c r="I14" s="1"/>
      <c r="J14" s="1"/>
      <c r="K14" s="1"/>
    </row>
    <row r="15" spans="1:11">
      <c r="A15" s="1"/>
      <c r="B15" s="5" t="s">
        <v>86</v>
      </c>
      <c r="C15" s="6">
        <v>5200</v>
      </c>
      <c r="D15" s="1"/>
      <c r="E15" s="5" t="s">
        <v>70</v>
      </c>
      <c r="F15" s="6">
        <v>4300</v>
      </c>
      <c r="G15" s="1"/>
      <c r="H15" s="1"/>
      <c r="I15" s="1"/>
      <c r="J15" s="1"/>
      <c r="K15" s="1"/>
    </row>
    <row r="16" spans="1:11">
      <c r="A16" s="1"/>
      <c r="B16" s="5" t="s">
        <v>87</v>
      </c>
      <c r="C16" s="6">
        <v>1800</v>
      </c>
      <c r="D16" s="1"/>
      <c r="E16" s="5" t="s">
        <v>71</v>
      </c>
      <c r="F16" s="45">
        <f>9000-F15-F17-F18</f>
        <v>3100</v>
      </c>
      <c r="G16" s="1"/>
      <c r="H16" s="1"/>
      <c r="I16" s="1"/>
      <c r="J16" s="1"/>
      <c r="K16" s="1"/>
    </row>
    <row r="17" spans="1:11">
      <c r="A17" s="1"/>
      <c r="B17" s="5" t="s">
        <v>88</v>
      </c>
      <c r="C17" s="6">
        <v>1500</v>
      </c>
      <c r="D17" s="1"/>
      <c r="E17" s="5" t="s">
        <v>89</v>
      </c>
      <c r="F17" s="6">
        <v>1100</v>
      </c>
      <c r="G17" s="1"/>
      <c r="H17" s="1"/>
      <c r="I17" s="1"/>
      <c r="J17" s="1"/>
      <c r="K17" s="1"/>
    </row>
    <row r="18" spans="1:11">
      <c r="A18" s="1"/>
      <c r="B18" s="5" t="s">
        <v>90</v>
      </c>
      <c r="C18" s="6">
        <v>1100</v>
      </c>
      <c r="D18" s="1"/>
      <c r="E18" s="5" t="s">
        <v>91</v>
      </c>
      <c r="F18" s="6">
        <v>500</v>
      </c>
      <c r="G18" s="1"/>
      <c r="H18" s="1"/>
      <c r="I18" s="1"/>
      <c r="J18" s="1"/>
      <c r="K18" s="1"/>
    </row>
    <row r="19" spans="1:11">
      <c r="A19" s="1"/>
      <c r="B19" s="5" t="s">
        <v>92</v>
      </c>
      <c r="C19" s="45">
        <f>C15+C16+C17+C18-9000</f>
        <v>600</v>
      </c>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4" t="s">
        <v>93</v>
      </c>
      <c r="C22" s="14"/>
      <c r="D22" s="14"/>
      <c r="E22" s="14"/>
      <c r="F22" s="14"/>
      <c r="G22" s="14"/>
      <c r="H22" s="14"/>
      <c r="I22" s="14"/>
      <c r="J22" s="14"/>
      <c r="K22" s="1"/>
    </row>
    <row r="23" spans="1:11">
      <c r="A23" s="1"/>
      <c r="B23" s="26" t="s">
        <v>94</v>
      </c>
      <c r="C23" s="26"/>
      <c r="D23" s="26"/>
      <c r="E23" s="26" t="s">
        <v>95</v>
      </c>
      <c r="F23" s="26"/>
      <c r="G23" s="26"/>
      <c r="H23" s="26" t="s">
        <v>96</v>
      </c>
      <c r="I23" s="26"/>
      <c r="J23" s="26"/>
      <c r="K23" s="1"/>
    </row>
    <row r="24" spans="1:11" ht="13.8" customHeight="1">
      <c r="A24" s="1"/>
      <c r="B24" s="42">
        <f>C19</f>
        <v>600</v>
      </c>
      <c r="C24" s="27"/>
      <c r="D24" s="27"/>
      <c r="E24" s="42">
        <f>F16</f>
        <v>3100</v>
      </c>
      <c r="F24" s="27"/>
      <c r="G24" s="27"/>
      <c r="H24" s="16" t="s">
        <v>97</v>
      </c>
      <c r="I24" s="16"/>
      <c r="J24" s="16"/>
      <c r="K24" s="1"/>
    </row>
    <row r="25" spans="1:11" ht="13.8" customHeight="1">
      <c r="A25" s="1"/>
      <c r="B25" s="27"/>
      <c r="C25" s="27"/>
      <c r="D25" s="27"/>
      <c r="E25" s="27"/>
      <c r="F25" s="27"/>
      <c r="G25" s="27"/>
      <c r="H25" s="16"/>
      <c r="I25" s="16"/>
      <c r="J25" s="16"/>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4" t="s">
        <v>42</v>
      </c>
      <c r="C28" s="14"/>
      <c r="D28" s="14"/>
      <c r="E28" s="14"/>
      <c r="F28" s="14"/>
      <c r="G28" s="14"/>
      <c r="H28" s="14"/>
      <c r="I28" s="14"/>
      <c r="J28" s="14"/>
      <c r="K28" s="1"/>
    </row>
    <row r="29" spans="1:11">
      <c r="A29" s="1"/>
      <c r="B29" s="28" t="s">
        <v>145</v>
      </c>
      <c r="C29" s="28"/>
      <c r="D29" s="28"/>
      <c r="E29" s="28"/>
      <c r="F29" s="28"/>
      <c r="G29" s="28"/>
      <c r="H29" s="28"/>
      <c r="I29" s="28"/>
      <c r="J29" s="28"/>
      <c r="K29" s="1"/>
    </row>
    <row r="30" spans="1:11">
      <c r="A30" s="1"/>
      <c r="B30" s="28"/>
      <c r="C30" s="28"/>
      <c r="D30" s="28"/>
      <c r="E30" s="28"/>
      <c r="F30" s="28"/>
      <c r="G30" s="28"/>
      <c r="H30" s="28"/>
      <c r="I30" s="28"/>
      <c r="J30" s="28"/>
      <c r="K30" s="1"/>
    </row>
    <row r="31" spans="1:11">
      <c r="A31" s="1"/>
      <c r="B31" s="28"/>
      <c r="C31" s="28"/>
      <c r="D31" s="28"/>
      <c r="E31" s="28"/>
      <c r="F31" s="28"/>
      <c r="G31" s="28"/>
      <c r="H31" s="28"/>
      <c r="I31" s="28"/>
      <c r="J31" s="28"/>
      <c r="K31" s="1"/>
    </row>
    <row r="32" spans="1:11">
      <c r="A32" s="1"/>
      <c r="B32" s="28"/>
      <c r="C32" s="28"/>
      <c r="D32" s="28"/>
      <c r="E32" s="28"/>
      <c r="F32" s="28"/>
      <c r="G32" s="28"/>
      <c r="H32" s="28"/>
      <c r="I32" s="28"/>
      <c r="J32" s="28"/>
      <c r="K32" s="1"/>
    </row>
    <row r="33" spans="1:11" ht="168.6" customHeight="1">
      <c r="A33" s="1"/>
      <c r="B33" s="28"/>
      <c r="C33" s="28"/>
      <c r="D33" s="28"/>
      <c r="E33" s="28"/>
      <c r="F33" s="28"/>
      <c r="G33" s="28"/>
      <c r="H33" s="28"/>
      <c r="I33" s="28"/>
      <c r="J33" s="28"/>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30.75" customHeight="1">
      <c r="A36" s="1"/>
      <c r="B36" s="29" t="s">
        <v>98</v>
      </c>
      <c r="C36" s="29"/>
      <c r="D36" s="29"/>
      <c r="E36" s="29"/>
      <c r="F36" s="29"/>
      <c r="G36" s="29"/>
      <c r="H36" s="29"/>
      <c r="I36" s="29"/>
      <c r="J36" s="29"/>
      <c r="K36" s="1"/>
    </row>
    <row r="37" spans="1:11">
      <c r="A37" s="1"/>
      <c r="B37" s="23" t="s">
        <v>99</v>
      </c>
      <c r="C37" s="23"/>
      <c r="D37" s="23"/>
      <c r="E37" s="23"/>
      <c r="F37" s="23"/>
      <c r="G37" s="23"/>
      <c r="H37" s="23"/>
      <c r="I37" s="23"/>
      <c r="J37" s="23"/>
      <c r="K37" s="1"/>
    </row>
    <row r="38" spans="1:11">
      <c r="A38" s="1"/>
      <c r="B38" s="23"/>
      <c r="C38" s="23"/>
      <c r="D38" s="23"/>
      <c r="E38" s="23"/>
      <c r="F38" s="23"/>
      <c r="G38" s="23"/>
      <c r="H38" s="23"/>
      <c r="I38" s="23"/>
      <c r="J38" s="23"/>
      <c r="K38" s="1"/>
    </row>
    <row r="39" spans="1:11">
      <c r="A39" s="1"/>
      <c r="B39" s="23"/>
      <c r="C39" s="23"/>
      <c r="D39" s="23"/>
      <c r="E39" s="23"/>
      <c r="F39" s="23"/>
      <c r="G39" s="23"/>
      <c r="H39" s="23"/>
      <c r="I39" s="23"/>
      <c r="J39" s="23"/>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ht="41.25" customHeight="1">
      <c r="A42" s="1"/>
      <c r="B42" s="24" t="s">
        <v>100</v>
      </c>
      <c r="C42" s="24"/>
      <c r="D42" s="24"/>
      <c r="E42" s="24"/>
      <c r="F42" s="24"/>
      <c r="G42" s="24"/>
      <c r="H42" s="24"/>
      <c r="I42" s="24"/>
      <c r="J42" s="24"/>
      <c r="K42" s="1"/>
    </row>
    <row r="43" spans="1:11" ht="31.95" customHeight="1">
      <c r="A43" s="1"/>
      <c r="B43" s="25" t="s">
        <v>146</v>
      </c>
      <c r="C43" s="25"/>
      <c r="D43" s="25"/>
      <c r="E43" s="25"/>
      <c r="F43" s="25"/>
      <c r="G43" s="25"/>
      <c r="H43" s="25"/>
      <c r="I43" s="25"/>
      <c r="J43" s="25"/>
      <c r="K43" s="1"/>
    </row>
    <row r="44" spans="1:11" ht="31.95" customHeight="1">
      <c r="A44" s="1"/>
      <c r="B44" s="25"/>
      <c r="C44" s="25"/>
      <c r="D44" s="25"/>
      <c r="E44" s="25"/>
      <c r="F44" s="25"/>
      <c r="G44" s="25"/>
      <c r="H44" s="25"/>
      <c r="I44" s="25"/>
      <c r="J44" s="25"/>
      <c r="K44" s="1"/>
    </row>
    <row r="45" spans="1:11" ht="31.95" customHeight="1">
      <c r="A45" s="1"/>
      <c r="B45" s="25"/>
      <c r="C45" s="25"/>
      <c r="D45" s="25"/>
      <c r="E45" s="25"/>
      <c r="F45" s="25"/>
      <c r="G45" s="25"/>
      <c r="H45" s="25"/>
      <c r="I45" s="25"/>
      <c r="J45" s="25"/>
      <c r="K45" s="1"/>
    </row>
    <row r="46" spans="1:11" ht="31.95" customHeight="1">
      <c r="A46" s="1"/>
      <c r="B46" s="25"/>
      <c r="C46" s="25"/>
      <c r="D46" s="25"/>
      <c r="E46" s="25"/>
      <c r="F46" s="25"/>
      <c r="G46" s="25"/>
      <c r="H46" s="25"/>
      <c r="I46" s="25"/>
      <c r="J46" s="25"/>
      <c r="K46" s="1"/>
    </row>
    <row r="47" spans="1:11" ht="31.95" customHeight="1">
      <c r="A47" s="1"/>
      <c r="B47" s="25"/>
      <c r="C47" s="25"/>
      <c r="D47" s="25"/>
      <c r="E47" s="25"/>
      <c r="F47" s="25"/>
      <c r="G47" s="25"/>
      <c r="H47" s="25"/>
      <c r="I47" s="25"/>
      <c r="J47" s="25"/>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ht="41.25" customHeight="1">
      <c r="A50" s="1"/>
      <c r="B50" s="24" t="s">
        <v>101</v>
      </c>
      <c r="C50" s="24"/>
      <c r="D50" s="24"/>
      <c r="E50" s="24"/>
      <c r="F50" s="24"/>
      <c r="G50" s="24"/>
      <c r="H50" s="24"/>
      <c r="I50" s="24"/>
      <c r="J50" s="24"/>
      <c r="K50" s="1"/>
    </row>
    <row r="51" spans="1:11" ht="31.95" customHeight="1">
      <c r="A51" s="1"/>
      <c r="B51" s="25" t="s">
        <v>149</v>
      </c>
      <c r="C51" s="25"/>
      <c r="D51" s="25"/>
      <c r="E51" s="25"/>
      <c r="F51" s="25"/>
      <c r="G51" s="25"/>
      <c r="H51" s="25"/>
      <c r="I51" s="25"/>
      <c r="J51" s="25"/>
      <c r="K51" s="1"/>
    </row>
    <row r="52" spans="1:11" ht="31.95" customHeight="1">
      <c r="A52" s="1"/>
      <c r="B52" s="25"/>
      <c r="C52" s="25"/>
      <c r="D52" s="25"/>
      <c r="E52" s="25"/>
      <c r="F52" s="25"/>
      <c r="G52" s="25"/>
      <c r="H52" s="25"/>
      <c r="I52" s="25"/>
      <c r="J52" s="25"/>
      <c r="K52" s="1"/>
    </row>
    <row r="53" spans="1:11" ht="31.95" customHeight="1">
      <c r="A53" s="1"/>
      <c r="B53" s="25"/>
      <c r="C53" s="25"/>
      <c r="D53" s="25"/>
      <c r="E53" s="25"/>
      <c r="F53" s="25"/>
      <c r="G53" s="25"/>
      <c r="H53" s="25"/>
      <c r="I53" s="25"/>
      <c r="J53" s="25"/>
      <c r="K53" s="1"/>
    </row>
    <row r="54" spans="1:11" ht="31.95" customHeight="1">
      <c r="A54" s="1"/>
      <c r="B54" s="25"/>
      <c r="C54" s="25"/>
      <c r="D54" s="25"/>
      <c r="E54" s="25"/>
      <c r="F54" s="25"/>
      <c r="G54" s="25"/>
      <c r="H54" s="25"/>
      <c r="I54" s="25"/>
      <c r="J54" s="25"/>
      <c r="K54" s="1"/>
    </row>
    <row r="55" spans="1:11" ht="31.95" customHeight="1">
      <c r="A55" s="1"/>
      <c r="B55" s="25"/>
      <c r="C55" s="25"/>
      <c r="D55" s="25"/>
      <c r="E55" s="25"/>
      <c r="F55" s="25"/>
      <c r="G55" s="25"/>
      <c r="H55" s="25"/>
      <c r="I55" s="25"/>
      <c r="J55" s="25"/>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sheetData>
  <mergeCells count="23">
    <mergeCell ref="B2:J2"/>
    <mergeCell ref="B3:J3"/>
    <mergeCell ref="B4:J4"/>
    <mergeCell ref="B7:J7"/>
    <mergeCell ref="B8:E10"/>
    <mergeCell ref="F8:J10"/>
    <mergeCell ref="B13:C13"/>
    <mergeCell ref="E13:F13"/>
    <mergeCell ref="B22:J22"/>
    <mergeCell ref="B23:D23"/>
    <mergeCell ref="E23:G23"/>
    <mergeCell ref="H23:J23"/>
    <mergeCell ref="B24:D25"/>
    <mergeCell ref="E24:G25"/>
    <mergeCell ref="H24:J25"/>
    <mergeCell ref="B28:J28"/>
    <mergeCell ref="B29:J33"/>
    <mergeCell ref="B51:J55"/>
    <mergeCell ref="B36:J36"/>
    <mergeCell ref="B37:J39"/>
    <mergeCell ref="B42:J42"/>
    <mergeCell ref="B43:J47"/>
    <mergeCell ref="B50:J5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8"/>
  <sheetViews>
    <sheetView showGridLines="0" tabSelected="1" zoomScale="70" zoomScaleNormal="70" workbookViewId="0">
      <selection activeCell="M10" sqref="M10"/>
    </sheetView>
  </sheetViews>
  <sheetFormatPr baseColWidth="10" defaultColWidth="8.796875" defaultRowHeight="13.8"/>
  <cols>
    <col min="1" max="1" width="3" customWidth="1"/>
    <col min="2" max="2" width="38" customWidth="1"/>
    <col min="3" max="4" width="17" customWidth="1"/>
    <col min="5" max="6" width="18" customWidth="1"/>
    <col min="7" max="7" width="4" customWidth="1"/>
    <col min="8" max="10" width="20" customWidth="1"/>
    <col min="11" max="11" width="3" customWidth="1"/>
  </cols>
  <sheetData>
    <row r="1" spans="1:11">
      <c r="A1" s="1"/>
      <c r="B1" s="1"/>
      <c r="C1" s="1"/>
      <c r="D1" s="1"/>
      <c r="E1" s="1"/>
      <c r="F1" s="1"/>
      <c r="G1" s="1"/>
      <c r="H1" s="1"/>
      <c r="I1" s="1"/>
      <c r="J1" s="1"/>
      <c r="K1" s="1"/>
    </row>
    <row r="2" spans="1:11" ht="45.3" customHeight="1">
      <c r="A2" s="1"/>
      <c r="B2" s="30" t="s">
        <v>102</v>
      </c>
      <c r="C2" s="30"/>
      <c r="D2" s="30"/>
      <c r="E2" s="30"/>
      <c r="F2" s="30"/>
      <c r="G2" s="30"/>
      <c r="H2" s="30"/>
      <c r="I2" s="30"/>
      <c r="J2" s="30"/>
      <c r="K2" s="1"/>
    </row>
    <row r="3" spans="1:11" ht="30.75" customHeight="1">
      <c r="A3" s="1"/>
      <c r="B3" s="31" t="s">
        <v>103</v>
      </c>
      <c r="C3" s="31"/>
      <c r="D3" s="31"/>
      <c r="E3" s="31"/>
      <c r="F3" s="31"/>
      <c r="G3" s="31"/>
      <c r="H3" s="31"/>
      <c r="I3" s="31"/>
      <c r="J3" s="31"/>
      <c r="K3" s="1"/>
    </row>
    <row r="4" spans="1:11" ht="6.75" customHeight="1">
      <c r="A4" s="1"/>
      <c r="B4" s="21"/>
      <c r="C4" s="21"/>
      <c r="D4" s="21"/>
      <c r="E4" s="21"/>
      <c r="F4" s="21"/>
      <c r="G4" s="21"/>
      <c r="H4" s="21"/>
      <c r="I4" s="21"/>
      <c r="J4" s="2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4" t="s">
        <v>104</v>
      </c>
      <c r="C7" s="14"/>
      <c r="D7" s="14"/>
      <c r="E7" s="14"/>
      <c r="F7" s="14"/>
      <c r="G7" s="14"/>
      <c r="H7" s="14"/>
      <c r="I7" s="14"/>
      <c r="J7" s="14"/>
      <c r="K7" s="1"/>
    </row>
    <row r="8" spans="1:11" ht="39.6">
      <c r="A8" s="1"/>
      <c r="B8" s="8" t="s">
        <v>105</v>
      </c>
      <c r="C8" s="11" t="s">
        <v>150</v>
      </c>
      <c r="D8" s="11"/>
      <c r="E8" s="11"/>
      <c r="F8" s="8" t="s">
        <v>106</v>
      </c>
      <c r="G8" s="9"/>
      <c r="H8" s="9">
        <v>865420.5</v>
      </c>
      <c r="I8" s="9"/>
      <c r="J8" s="9"/>
      <c r="K8" s="1"/>
    </row>
    <row r="9" spans="1:11">
      <c r="A9" s="1"/>
      <c r="B9" s="1"/>
      <c r="C9" s="1"/>
      <c r="D9" s="1"/>
      <c r="E9" s="1"/>
      <c r="F9" s="1"/>
      <c r="G9" s="1"/>
      <c r="H9" s="1"/>
      <c r="I9" s="1"/>
      <c r="J9" s="1"/>
      <c r="K9" s="1"/>
    </row>
    <row r="10" spans="1:11" ht="26.4" customHeight="1">
      <c r="A10" s="1"/>
      <c r="B10" s="8" t="s">
        <v>107</v>
      </c>
      <c r="C10" s="47">
        <v>46260</v>
      </c>
      <c r="D10" s="11"/>
      <c r="E10" s="11"/>
      <c r="F10" s="8" t="s">
        <v>108</v>
      </c>
      <c r="G10" s="48" t="s">
        <v>151</v>
      </c>
      <c r="H10" s="35"/>
      <c r="I10" s="35"/>
      <c r="J10" s="35"/>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4" t="s">
        <v>109</v>
      </c>
      <c r="C13" s="14"/>
      <c r="D13" s="14"/>
      <c r="E13" s="14"/>
      <c r="F13" s="14"/>
      <c r="G13" s="14"/>
      <c r="H13" s="14"/>
      <c r="I13" s="14"/>
      <c r="J13" s="14"/>
      <c r="K13" s="1"/>
    </row>
    <row r="14" spans="1:11" ht="37.200000000000003" customHeight="1">
      <c r="A14" s="1"/>
      <c r="B14" s="4" t="s">
        <v>26</v>
      </c>
      <c r="C14" s="4" t="s">
        <v>110</v>
      </c>
      <c r="D14" s="4" t="s">
        <v>111</v>
      </c>
      <c r="E14" s="4" t="s">
        <v>112</v>
      </c>
      <c r="F14" s="4" t="s">
        <v>113</v>
      </c>
      <c r="G14" s="1"/>
      <c r="H14" s="1"/>
      <c r="I14" s="1"/>
      <c r="J14" s="1"/>
      <c r="K14" s="1"/>
    </row>
    <row r="15" spans="1:11">
      <c r="A15" s="1"/>
      <c r="B15" s="5" t="s">
        <v>114</v>
      </c>
      <c r="C15" s="49">
        <v>78597.511313364797</v>
      </c>
      <c r="D15" s="49">
        <v>84835.192942658701</v>
      </c>
      <c r="E15" s="38">
        <f>((D15-C15)/C15)*1</f>
        <v>7.9362329990634736E-2</v>
      </c>
      <c r="F15" s="38">
        <f>(D15/$H$8)*1</f>
        <v>9.802771362899157E-2</v>
      </c>
      <c r="G15" s="1"/>
      <c r="H15" s="1"/>
      <c r="I15" s="1"/>
      <c r="J15" s="1"/>
      <c r="K15" s="1"/>
    </row>
    <row r="16" spans="1:11">
      <c r="A16" s="1"/>
      <c r="B16" s="5" t="s">
        <v>32</v>
      </c>
      <c r="C16" s="49">
        <v>114464.08566819401</v>
      </c>
      <c r="D16" s="49">
        <v>118927.00103401</v>
      </c>
      <c r="E16" s="38">
        <f t="shared" ref="E16:E19" si="0">((D16-C16)/C16)*1</f>
        <v>3.898965636044998E-2</v>
      </c>
      <c r="F16" s="38">
        <f t="shared" ref="F16:F19" si="1">(D16/$H$8)*1</f>
        <v>0.13742105835719168</v>
      </c>
      <c r="G16" s="1"/>
      <c r="H16" s="1"/>
      <c r="I16" s="1"/>
      <c r="J16" s="1"/>
      <c r="K16" s="1"/>
    </row>
    <row r="17" spans="1:11">
      <c r="A17" s="1"/>
      <c r="B17" s="5" t="s">
        <v>33</v>
      </c>
      <c r="C17" s="49">
        <v>45286.529207953201</v>
      </c>
      <c r="D17" s="49">
        <v>47780.226716185898</v>
      </c>
      <c r="E17" s="38">
        <f t="shared" si="0"/>
        <v>5.5064884676451535E-2</v>
      </c>
      <c r="F17" s="38">
        <f t="shared" si="1"/>
        <v>5.5210417035632849E-2</v>
      </c>
      <c r="G17" s="1"/>
      <c r="H17" s="1"/>
      <c r="I17" s="1"/>
      <c r="J17" s="1"/>
      <c r="K17" s="1"/>
    </row>
    <row r="18" spans="1:11">
      <c r="A18" s="1"/>
      <c r="B18" s="5" t="s">
        <v>115</v>
      </c>
      <c r="C18" s="49">
        <v>169370.393096997</v>
      </c>
      <c r="D18" s="49">
        <v>186914.85740552601</v>
      </c>
      <c r="E18" s="38">
        <f t="shared" si="0"/>
        <v>0.10358637060304542</v>
      </c>
      <c r="F18" s="38">
        <f t="shared" si="1"/>
        <v>0.21598154585606189</v>
      </c>
      <c r="G18" s="1"/>
      <c r="H18" s="1"/>
      <c r="I18" s="1"/>
      <c r="J18" s="1"/>
      <c r="K18" s="1"/>
    </row>
    <row r="19" spans="1:11" ht="26.4">
      <c r="A19" s="1"/>
      <c r="B19" s="5" t="s">
        <v>152</v>
      </c>
      <c r="C19" s="49">
        <v>34720.910627915</v>
      </c>
      <c r="D19" s="49">
        <v>39082.247668555501</v>
      </c>
      <c r="E19" s="38">
        <f t="shared" si="0"/>
        <v>0.12561125159931902</v>
      </c>
      <c r="F19" s="38">
        <f t="shared" si="1"/>
        <v>4.5159835789140075E-2</v>
      </c>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29" t="s">
        <v>116</v>
      </c>
      <c r="C22" s="29"/>
      <c r="D22" s="29"/>
      <c r="E22" s="29"/>
      <c r="F22" s="29"/>
      <c r="G22" s="29"/>
      <c r="H22" s="29"/>
      <c r="I22" s="29"/>
      <c r="J22" s="29"/>
      <c r="K22" s="1"/>
    </row>
    <row r="23" spans="1:11">
      <c r="A23" s="1"/>
      <c r="B23" s="23" t="s">
        <v>117</v>
      </c>
      <c r="C23" s="23"/>
      <c r="D23" s="23"/>
      <c r="E23" s="23"/>
      <c r="F23" s="23"/>
      <c r="G23" s="23"/>
      <c r="H23" s="23"/>
      <c r="I23" s="23"/>
      <c r="J23" s="23"/>
      <c r="K23" s="1"/>
    </row>
    <row r="24" spans="1:11">
      <c r="A24" s="1"/>
      <c r="B24" s="23"/>
      <c r="C24" s="23"/>
      <c r="D24" s="23"/>
      <c r="E24" s="23"/>
      <c r="F24" s="23"/>
      <c r="G24" s="23"/>
      <c r="H24" s="23"/>
      <c r="I24" s="23"/>
      <c r="J24" s="23"/>
      <c r="K24" s="1"/>
    </row>
    <row r="25" spans="1:11">
      <c r="A25" s="1"/>
      <c r="B25" s="23"/>
      <c r="C25" s="23"/>
      <c r="D25" s="23"/>
      <c r="E25" s="23"/>
      <c r="F25" s="23"/>
      <c r="G25" s="23"/>
      <c r="H25" s="23"/>
      <c r="I25" s="23"/>
      <c r="J25" s="23"/>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4" t="s">
        <v>118</v>
      </c>
      <c r="C28" s="14"/>
      <c r="D28" s="14"/>
      <c r="E28" s="14"/>
      <c r="F28" s="14"/>
      <c r="G28" s="14"/>
      <c r="H28" s="14"/>
      <c r="I28" s="14"/>
      <c r="J28" s="14"/>
      <c r="K28" s="1"/>
    </row>
    <row r="29" spans="1:11">
      <c r="A29" s="1"/>
      <c r="B29" s="26" t="s">
        <v>119</v>
      </c>
      <c r="C29" s="26"/>
      <c r="D29" s="26"/>
      <c r="E29" s="26"/>
      <c r="F29" s="34" t="s">
        <v>153</v>
      </c>
      <c r="G29" s="34"/>
      <c r="H29" s="34"/>
      <c r="I29" s="34"/>
      <c r="J29" s="34"/>
      <c r="K29" s="1"/>
    </row>
    <row r="30" spans="1:11">
      <c r="A30" s="1"/>
      <c r="B30" s="1"/>
      <c r="C30" s="1"/>
      <c r="D30" s="1"/>
      <c r="E30" s="1"/>
      <c r="F30" s="1"/>
      <c r="G30" s="1"/>
      <c r="H30" s="1"/>
      <c r="I30" s="1"/>
      <c r="J30" s="1"/>
      <c r="K30" s="1"/>
    </row>
    <row r="31" spans="1:11">
      <c r="A31" s="1"/>
      <c r="B31" s="26" t="s">
        <v>120</v>
      </c>
      <c r="C31" s="26"/>
      <c r="D31" s="26"/>
      <c r="E31" s="26"/>
      <c r="F31" s="34" t="s">
        <v>154</v>
      </c>
      <c r="G31" s="34"/>
      <c r="H31" s="34"/>
      <c r="I31" s="34"/>
      <c r="J31" s="34"/>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ht="41.25" customHeight="1">
      <c r="A52" s="1"/>
      <c r="B52" s="24" t="s">
        <v>121</v>
      </c>
      <c r="C52" s="24"/>
      <c r="D52" s="24"/>
      <c r="E52" s="24"/>
      <c r="F52" s="24"/>
      <c r="G52" s="24"/>
      <c r="H52" s="24"/>
      <c r="I52" s="24"/>
      <c r="J52" s="24"/>
      <c r="K52" s="1"/>
    </row>
    <row r="53" spans="1:11" ht="31.95" customHeight="1">
      <c r="A53" s="1"/>
      <c r="B53" s="25" t="s">
        <v>155</v>
      </c>
      <c r="C53" s="25"/>
      <c r="D53" s="25"/>
      <c r="E53" s="25"/>
      <c r="F53" s="25"/>
      <c r="G53" s="25"/>
      <c r="H53" s="25"/>
      <c r="I53" s="25"/>
      <c r="J53" s="25"/>
      <c r="K53" s="1"/>
    </row>
    <row r="54" spans="1:11" ht="31.95" customHeight="1">
      <c r="A54" s="1"/>
      <c r="B54" s="25"/>
      <c r="C54" s="25"/>
      <c r="D54" s="25"/>
      <c r="E54" s="25"/>
      <c r="F54" s="25"/>
      <c r="G54" s="25"/>
      <c r="H54" s="25"/>
      <c r="I54" s="25"/>
      <c r="J54" s="25"/>
      <c r="K54" s="1"/>
    </row>
    <row r="55" spans="1:11" ht="31.95" customHeight="1">
      <c r="A55" s="1"/>
      <c r="B55" s="25"/>
      <c r="C55" s="25"/>
      <c r="D55" s="25"/>
      <c r="E55" s="25"/>
      <c r="F55" s="25"/>
      <c r="G55" s="25"/>
      <c r="H55" s="25"/>
      <c r="I55" s="25"/>
      <c r="J55" s="25"/>
      <c r="K55" s="1"/>
    </row>
    <row r="56" spans="1:11" ht="31.95" customHeight="1">
      <c r="A56" s="1"/>
      <c r="B56" s="25"/>
      <c r="C56" s="25"/>
      <c r="D56" s="25"/>
      <c r="E56" s="25"/>
      <c r="F56" s="25"/>
      <c r="G56" s="25"/>
      <c r="H56" s="25"/>
      <c r="I56" s="25"/>
      <c r="J56" s="25"/>
      <c r="K56" s="1"/>
    </row>
    <row r="57" spans="1:11">
      <c r="A57" s="1"/>
      <c r="B57" s="1"/>
      <c r="C57" s="1"/>
      <c r="D57" s="1"/>
      <c r="E57" s="1"/>
      <c r="F57" s="1"/>
      <c r="G57" s="1"/>
      <c r="H57" s="1"/>
      <c r="I57" s="1"/>
      <c r="J57" s="1"/>
      <c r="K57" s="1"/>
    </row>
    <row r="58" spans="1:11" ht="41.25" customHeight="1">
      <c r="A58" s="1"/>
      <c r="B58" s="24" t="s">
        <v>122</v>
      </c>
      <c r="C58" s="24"/>
      <c r="D58" s="24"/>
      <c r="E58" s="24"/>
      <c r="F58" s="24"/>
      <c r="G58" s="24"/>
      <c r="H58" s="24"/>
      <c r="I58" s="24"/>
      <c r="J58" s="24"/>
      <c r="K58" s="1"/>
    </row>
    <row r="59" spans="1:11" ht="31.95" customHeight="1">
      <c r="A59" s="1"/>
      <c r="B59" s="25" t="s">
        <v>156</v>
      </c>
      <c r="C59" s="25"/>
      <c r="D59" s="25"/>
      <c r="E59" s="25"/>
      <c r="F59" s="25"/>
      <c r="G59" s="25"/>
      <c r="H59" s="25"/>
      <c r="I59" s="25"/>
      <c r="J59" s="25"/>
      <c r="K59" s="1"/>
    </row>
    <row r="60" spans="1:11" ht="31.95" customHeight="1">
      <c r="A60" s="1"/>
      <c r="B60" s="25"/>
      <c r="C60" s="25"/>
      <c r="D60" s="25"/>
      <c r="E60" s="25"/>
      <c r="F60" s="25"/>
      <c r="G60" s="25"/>
      <c r="H60" s="25"/>
      <c r="I60" s="25"/>
      <c r="J60" s="25"/>
      <c r="K60" s="1"/>
    </row>
    <row r="61" spans="1:11" ht="31.95" customHeight="1">
      <c r="A61" s="1"/>
      <c r="B61" s="25"/>
      <c r="C61" s="25"/>
      <c r="D61" s="25"/>
      <c r="E61" s="25"/>
      <c r="F61" s="25"/>
      <c r="G61" s="25"/>
      <c r="H61" s="25"/>
      <c r="I61" s="25"/>
      <c r="J61" s="25"/>
      <c r="K61" s="1"/>
    </row>
    <row r="62" spans="1:11" ht="31.95" customHeight="1">
      <c r="A62" s="1"/>
      <c r="B62" s="25"/>
      <c r="C62" s="25"/>
      <c r="D62" s="25"/>
      <c r="E62" s="25"/>
      <c r="F62" s="25"/>
      <c r="G62" s="25"/>
      <c r="H62" s="25"/>
      <c r="I62" s="25"/>
      <c r="J62" s="25"/>
      <c r="K62" s="1"/>
    </row>
    <row r="63" spans="1:11">
      <c r="A63" s="1"/>
      <c r="B63" s="1"/>
      <c r="C63" s="1"/>
      <c r="D63" s="1"/>
      <c r="E63" s="1"/>
      <c r="F63" s="1"/>
      <c r="G63" s="1"/>
      <c r="H63" s="1"/>
      <c r="I63" s="1"/>
      <c r="J63" s="1"/>
      <c r="K63" s="1"/>
    </row>
    <row r="64" spans="1:11" ht="41.25" customHeight="1">
      <c r="A64" s="1"/>
      <c r="B64" s="24" t="s">
        <v>123</v>
      </c>
      <c r="C64" s="24"/>
      <c r="D64" s="24"/>
      <c r="E64" s="24"/>
      <c r="F64" s="24"/>
      <c r="G64" s="24"/>
      <c r="H64" s="24"/>
      <c r="I64" s="24"/>
      <c r="J64" s="24"/>
      <c r="K64" s="1"/>
    </row>
    <row r="65" spans="1:11" ht="31.95" customHeight="1">
      <c r="A65" s="1"/>
      <c r="B65" s="25" t="s">
        <v>157</v>
      </c>
      <c r="C65" s="25"/>
      <c r="D65" s="25"/>
      <c r="E65" s="25"/>
      <c r="F65" s="25"/>
      <c r="G65" s="25"/>
      <c r="H65" s="25"/>
      <c r="I65" s="25"/>
      <c r="J65" s="25"/>
      <c r="K65" s="1"/>
    </row>
    <row r="66" spans="1:11" ht="31.95" customHeight="1">
      <c r="A66" s="1"/>
      <c r="B66" s="25"/>
      <c r="C66" s="25"/>
      <c r="D66" s="25"/>
      <c r="E66" s="25"/>
      <c r="F66" s="25"/>
      <c r="G66" s="25"/>
      <c r="H66" s="25"/>
      <c r="I66" s="25"/>
      <c r="J66" s="25"/>
      <c r="K66" s="1"/>
    </row>
    <row r="67" spans="1:11" ht="31.95" customHeight="1">
      <c r="A67" s="1"/>
      <c r="B67" s="25"/>
      <c r="C67" s="25"/>
      <c r="D67" s="25"/>
      <c r="E67" s="25"/>
      <c r="F67" s="25"/>
      <c r="G67" s="25"/>
      <c r="H67" s="25"/>
      <c r="I67" s="25"/>
      <c r="J67" s="25"/>
      <c r="K67" s="1"/>
    </row>
    <row r="68" spans="1:11" ht="31.95" customHeight="1">
      <c r="A68" s="1"/>
      <c r="B68" s="25"/>
      <c r="C68" s="25"/>
      <c r="D68" s="25"/>
      <c r="E68" s="25"/>
      <c r="F68" s="25"/>
      <c r="G68" s="25"/>
      <c r="H68" s="25"/>
      <c r="I68" s="25"/>
      <c r="J68" s="25"/>
      <c r="K68" s="1"/>
    </row>
  </sheetData>
  <mergeCells count="19">
    <mergeCell ref="B2:J2"/>
    <mergeCell ref="B3:J3"/>
    <mergeCell ref="B4:J4"/>
    <mergeCell ref="B7:J7"/>
    <mergeCell ref="G10:J10"/>
    <mergeCell ref="B13:J13"/>
    <mergeCell ref="B22:J22"/>
    <mergeCell ref="B23:J25"/>
    <mergeCell ref="B28:J28"/>
    <mergeCell ref="B29:E29"/>
    <mergeCell ref="F29:J29"/>
    <mergeCell ref="B59:J62"/>
    <mergeCell ref="B64:J64"/>
    <mergeCell ref="B65:J68"/>
    <mergeCell ref="B31:E31"/>
    <mergeCell ref="F31:J31"/>
    <mergeCell ref="B52:J52"/>
    <mergeCell ref="B53:J56"/>
    <mergeCell ref="B58:J58"/>
  </mergeCells>
  <hyperlinks>
    <hyperlink ref="G10" r:id="rId1" xr:uid="{6624B85A-C558-4185-9989-6D582CEA9C2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E1 Producción</vt:lpstr>
      <vt:lpstr>E2 Gasto</vt:lpstr>
      <vt:lpstr>E3 Ingreso</vt:lpstr>
      <vt:lpstr>E4 Tres enfoques</vt:lpstr>
      <vt:lpstr>E5 Guatemala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cp:lastModifiedBy>
  <dcterms:modified xsi:type="dcterms:W3CDTF">2026-08-29T01:16:05Z</dcterms:modified>
</cp:coreProperties>
</file>