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8ef24d469da685c/Desktop/3ER TRIMESTRE MAESTRIA/MACROECONOMIA/"/>
    </mc:Choice>
  </mc:AlternateContent>
  <xr:revisionPtr revIDLastSave="100" documentId="8_{AF63C3EA-0837-47C0-A089-FD58E19C02D4}" xr6:coauthVersionLast="47" xr6:coauthVersionMax="47" xr10:uidLastSave="{9D422FA9-5654-4BBB-894D-705CCA6AD9CA}"/>
  <bookViews>
    <workbookView xWindow="-108" yWindow="-108" windowWidth="23256" windowHeight="12456" activeTab="5"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6" l="1"/>
  <c r="F17" i="6"/>
  <c r="F18" i="6"/>
  <c r="F19" i="6"/>
  <c r="F15" i="6"/>
  <c r="E16" i="6"/>
  <c r="E17" i="6"/>
  <c r="E18" i="6"/>
  <c r="E19" i="6"/>
  <c r="E15" i="6"/>
  <c r="E24" i="5"/>
  <c r="B24" i="5"/>
  <c r="F16" i="5"/>
  <c r="C19" i="5"/>
  <c r="D10" i="4"/>
  <c r="D11" i="4"/>
  <c r="D9" i="4"/>
  <c r="E19" i="4"/>
  <c r="E17" i="4"/>
  <c r="E24" i="3"/>
  <c r="E22" i="3"/>
  <c r="E20" i="3"/>
  <c r="E18" i="3"/>
  <c r="E23" i="2" l="1"/>
  <c r="E10" i="2"/>
  <c r="E11" i="2"/>
  <c r="E12" i="2"/>
  <c r="E9" i="2"/>
  <c r="E21" i="2" s="1"/>
  <c r="E25" i="2" s="1"/>
  <c r="F9" i="2" l="1"/>
  <c r="F12" i="2"/>
  <c r="F11" i="2"/>
  <c r="F10" i="2"/>
</calcChain>
</file>

<file path=xl/sharedStrings.xml><?xml version="1.0" encoding="utf-8"?>
<sst xmlns="http://schemas.openxmlformats.org/spreadsheetml/2006/main" count="165" uniqueCount="150">
  <si>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</si>
  <si>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</si>
  <si>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</si>
  <si>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</si>
  <si>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</si>
  <si>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</si>
  <si>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</si>
  <si>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</si>
  <si>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</si>
  <si>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</si>
  <si>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</si>
  <si>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</si>
  <si>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</si>
  <si>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</si>
  <si>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</si>
  <si>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</si>
  <si>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</si>
  <si>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</si>
  <si>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</si>
  <si>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</si>
  <si>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</si>
  <si>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</si>
  <si>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</si>
  <si>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</si>
  <si>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</si>
  <si>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</si>
  <si>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</si>
  <si>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</si>
  <si>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</si>
  <si>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</si>
  <si>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</si>
  <si>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</si>
  <si>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</si>
  <si>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</si>
  <si>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</si>
  <si>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</si>
  <si>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</si>
  <si>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</si>
  <si>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</si>
  <si>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</si>
  <si>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</si>
  <si>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</si>
  <si>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</si>
  <si>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</si>
  <si>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</si>
  <si>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</si>
  <si>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</si>
  <si>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</si>
  <si>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</si>
  <si>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</si>
  <si>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</si>
  <si>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</si>
  <si>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</si>
  <si>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</si>
  <si>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</si>
  <si>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</si>
  <si>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</si>
  <si>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</si>
  <si>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</si>
  <si>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</si>
  <si>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</si>
  <si>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</si>
  <si>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</si>
  <si>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</si>
  <si>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</si>
  <si>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</si>
  <si>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</si>
  <si>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</si>
  <si>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</si>
  <si>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</si>
  <si>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</si>
  <si>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</si>
  <si>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</si>
  <si>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</si>
  <si>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</si>
  <si>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</si>
  <si>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</si>
  <si>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</si>
  <si>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</si>
  <si>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</si>
  <si>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</si>
  <si>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</si>
  <si>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</si>
  <si>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</si>
  <si>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</si>
  <si>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</si>
  <si>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</si>
  <si>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</si>
  <si>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</si>
  <si>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</si>
  <si>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</si>
  <si>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</si>
  <si>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</si>
  <si>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</si>
  <si>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</si>
  <si>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</si>
  <si>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</si>
  <si>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</si>
  <si>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</si>
  <si>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</si>
  <si>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</si>
  <si>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</si>
  <si>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</si>
  <si>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</si>
  <si>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</si>
  <si>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</si>
  <si>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</si>
  <si>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</si>
  <si>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ACTIVIDADES SELECCIONADAS</t>
  </si>
  <si>
    <t>VAB 2023</t>
  </si>
  <si>
    <t>VAB 2024</t>
  </si>
  <si>
    <t>Variación del valor (%)</t>
  </si>
  <si>
    <t>Participación PIB 2024 (%)</t>
  </si>
  <si>
    <t>Agricultura, ganadería, silvicultura y pesca</t>
  </si>
  <si>
    <t>Comercio y reparación de vehículos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</si>
  <si>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</si>
  <si>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</si>
  <si>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</si>
  <si>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</si>
  <si>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</si>
  <si>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</si>
  <si>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</si>
  <si>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</si>
  <si>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</si>
  <si>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Adriana Cristina Morales Urbina</t>
  </si>
  <si>
    <t>NA</t>
  </si>
  <si>
    <t>Agricultura: 1,650 - 620 = 1,030</t>
  </si>
  <si>
    <t>Industrias manufactureras: 2,900 - 1,750 = 1,150</t>
  </si>
  <si>
    <t>Construcción: 1,250 - 720 = 530</t>
  </si>
  <si>
    <t>Comercio y otros servicios: 2,400 - 1,050 = 1,350</t>
  </si>
  <si>
    <t>VAB total = 1,030 + 1,150 + 530 + 1,350 = 4,060</t>
  </si>
  <si>
    <t xml:space="preserve">Impuestos netos = 420 - 40 </t>
  </si>
  <si>
    <t>PIB = 4,060 + 380 = Q4,440 millones</t>
  </si>
  <si>
    <t>Desarrolle aquí:
• I = FBCF + ΔE = 1700+(-120) = Q1,580 millones
• X − M = 1,250 - 1,640 = -Q390 millones
• PIB = C + I + G + (X − M) =  5,100 + 1,580 + 1,150 - 390 = Q7,440 millones
• nuevo PIB (consumo aumenta Q250 millones) = 7,440 + 250 = Q7,690 millones</t>
  </si>
  <si>
    <t>Sería incorrecto sumar directamente el valor bruto de producción,  porque incluye insumos que ya fueron contabilizados en otras actividades comerciales, lo cual produciría una doble contabilización de los insumos y por esta razón únicamente debemos sumar el valor agregado. Y la actividad de Comercio y otros servicios genera la mayor proporción del valor agregado con Q1,350 millones, que equivale al 33.25%.</t>
  </si>
  <si>
    <t>Las importaciones se restan porque pueden estar incluidas en el consumo, la inversión o el gasto público, pero fueron producidas fuera del país y no representan la producción nacional, al restarlas se evita que su valor se incluya de forma incorrecta en el PIB. Además, una variación de existencias negativa indica que se vendieron bienes de inventarios acumulados previamente, y las existencias disminuyeron durante el período.</t>
  </si>
  <si>
    <r>
      <rPr>
        <b/>
        <sz val="10"/>
        <color rgb="FF0B2E4F"/>
        <rFont val="Carlito"/>
      </rPr>
      <t>Desarrolle las operaciones para:</t>
    </r>
    <r>
      <rPr>
        <sz val="10"/>
        <color rgb="FF0B2E4F"/>
        <rFont val="Carlito"/>
      </rPr>
      <t xml:space="preserve">
• Impuestos netos = 620 - 110 = Q510 millones
• PIB = RA + EBE + IMB + impuestos netos = 4,250 + 2,100 + 960 + 510 = Q7,820 millones
• Participación de RA =  4,250 / 7,820 = 54.35%                                                                                                                                                                                                                                                                     • Participación de EBE =  2,100 / 7,820 = 26.85                                                                                                                                                                                                               • Participación de MIXTO =  960 / 7,820 = 12.28%.</t>
    </r>
  </si>
  <si>
    <t xml:space="preserve">El ingreso mixto representa los ingresos obtenidos por trabajadores por cuenta propia y propietarios de negocios pequeños y familiares, en los cuales no es fácil separar el pago por su trabajo de la ganancia generada por el negocio. Es especialmente relevante en economías con alta informalidad y autoempleo, porque una parte importante de la población desarrolla actividades productivas sin recibir un salario formal.  Este componente permite reflejar mejor el aporte económico de emprendedores, comerciantes, agricultores y negocios familiares dentro del PIB. Y en el ejercicio represento un 12.28% del ingreso. </t>
  </si>
  <si>
    <t>PIB producción = PIB gasto = PIB ingreso                                                                                                9,000 = 9,000 = 9,000</t>
  </si>
  <si>
    <r>
      <rPr>
        <b/>
        <sz val="10"/>
        <color rgb="FF0B2E4F"/>
        <rFont val="Carlito"/>
      </rPr>
      <t>GASTO</t>
    </r>
    <r>
      <rPr>
        <sz val="10"/>
        <color rgb="FF0B2E4F"/>
        <rFont val="Carlito"/>
      </rPr>
      <t xml:space="preserve">
PIB = C + I + G + (X − M)
9,000 = 5,200 + 1,800 + 1,500 + 1,100 − M
M = 5,200 + 1,800 + 1,500 + 1,100 − 9,000 = Q600 millones.
</t>
    </r>
    <r>
      <rPr>
        <b/>
        <sz val="10"/>
        <color rgb="FF0B2E4F"/>
        <rFont val="Carlito"/>
      </rPr>
      <t xml:space="preserve">INGRESO </t>
    </r>
    <r>
      <rPr>
        <sz val="10"/>
        <color rgb="FF0B2E4F"/>
        <rFont val="Carlito"/>
      </rPr>
      <t xml:space="preserve">
PIB = RA + EBE + IM + IN
9,000 = 4,300 + EBE + 1,100 + 500
EBE = 9,000 − 4,300 − 1,100 − 500 = Q3,100 millones.
</t>
    </r>
    <r>
      <rPr>
        <b/>
        <sz val="10"/>
        <color rgb="FF0B2E4F"/>
        <rFont val="Carlito"/>
      </rPr>
      <t>VERIFICACIÓN</t>
    </r>
    <r>
      <rPr>
        <sz val="10"/>
        <color rgb="FF0B2E4F"/>
        <rFont val="Carlito"/>
      </rPr>
      <t xml:space="preserve">
Producción = 9,000
Gasto = 5,200 + 1,800 + 1,500 + 1,100 − 600 = 9,000
Ingreso = 4,300 + 3,100 + 1,100 + 500 = 9,000.</t>
    </r>
  </si>
  <si>
    <t>Aunque los tres enfoques calculan el mismo PIB, cada uno observa la economía desde una perspectiva diferente y utiliza distintas fuentes de información. El enfoque de producción se basa en datos de las empresas y actividades económicas. El gasto considera el consumo, la inversión, el gasto público y el comercio exterior. Y el de ingreso utiliza información sobre salarios, ganancias e impuestos. Por eso en la práctica pueden surgir pequeñas diferencias, aunque conceptualmente los tres enfoques midan la misma actividad económica.</t>
  </si>
  <si>
    <t>No necesariamente significa que alguno de los tres enfoques esté conceptualmente equivocado, las diferencias pueden surgir porque cada enfoque utiliza distintas fuentes de información, períodos de registro, niveles de cobertura y métodos de estimación; y algunos datos pueden estar incompletos o actualizarse posteriormente. Entonces los tres enfoques continúan siendo válidos porque analizan una misma actividad económica desde perspectivas diferentes, las cuentas nacionales realizan ajustes y conciliaciones para reducir las discrepancias estadísticas.</t>
  </si>
  <si>
    <t>Producto Interno Bruto por el enfoque de la producción, años 2013-2025, millones de quetzales (Año de referencia 2013)</t>
  </si>
  <si>
    <t>https://banguat.gob.gt/page/cuadros-estadisticos-resumidos</t>
  </si>
  <si>
    <t>Comercio y reparación de vehículos con el 21.28%</t>
  </si>
  <si>
    <t>Alojamiento y servicio de comidas con el 16.41%</t>
  </si>
  <si>
    <t>Actividades de alojamiento y de servicio de comidas</t>
  </si>
  <si>
    <t>No necesariamente, porque a participación indica el peso que tiene una actividad dentro de la economía, mientras que la variación muestra cuánto aumentó o disminuyó su valor entre dos años. En este caso, el comercio y la reparación de vehículos tienen la mayor participación con el 21.28 %, pero alojamiento y servicios de comida presentan la mayor variación con el 16.41 %. Por lo tanto, una actividad puede crecer rápidamente sin ser todavía una de las más grandes.</t>
  </si>
  <si>
    <t>El comercio y la reparación de vehículos representan 21.28 % del PIB de 2024 y registraron una variación de 10.36 %. En comparación, la construcción representa solamente 5.44 % del PIB y tuvo una variación de 5.51 %. Esto demuestra que el comercio tiene mayor importancia dentro de la economía y también presentó un aumento más dinámico durante el período analizado economicamente.</t>
  </si>
  <si>
    <t>No existe contradicción, porque el PIB reúne el valor agregado de todas las actividades económicas. El crecimiento de algunos sectores puede compensar la disminución de otros y provocar que el PIB total aumente. Además, las cifras a precios corrientes incluyen tanto cambios en la producción como aumentos de precios. Entonces vemos que una variación positiva no debe interpretarse automáticamente como crecimiento real y para determinarlo deben consultarse datos a precios constantes.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</si>
</sst>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quot;* #,##0.00_-;\-&quot;Q&quot;* #,##0.00_-;_-&quot;Q&quot;* &quot;-&quot;??_-;_-@_-"/>
  </numFmts>
  <fonts count="24">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sz val="8"/>
      <name val="Carlito"/>
    </font>
    <font>
      <sz val="11"/>
      <color rgb="FF4B5563"/>
      <name val="Carlito"/>
    </font>
    <font>
      <b/>
      <sz val="11"/>
      <color rgb="FF164873"/>
      <name val="Carlito"/>
    </font>
    <font>
      <sz val="11"/>
      <name val="Carlito"/>
    </font>
    <font>
      <u/>
      <sz val="11"/>
      <color theme="10"/>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1">
    <border>
      <left/>
      <right/>
      <top/>
      <bottom/>
      <diagonal/>
    </border>
  </borders>
  <cellStyleXfs count="3">
    <xf numFmtId="0" fontId="0" fillId="0" borderId="0"/>
    <xf numFmtId="44" fontId="22" fillId="0" borderId="0" applyFont="0" applyFill="0" applyBorder="0" applyAlignment="0" applyProtection="0"/>
    <xf numFmtId="0" fontId="23" fillId="0" borderId="0" applyNumberFormat="0" applyFill="0" applyBorder="0" applyAlignment="0" applyProtection="0"/>
  </cellStyleXfs>
  <cellXfs count="49">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 fontId="6" fillId="8" borderId="0" xfId="0" applyNumberFormat="1" applyFont="1" applyFill="1" applyAlignment="1">
      <alignment horizontal="left" vertical="center" wrapText="1"/>
    </xf>
    <xf numFmtId="10" fontId="6" fillId="8" borderId="0" xfId="0" applyNumberFormat="1" applyFont="1" applyFill="1" applyAlignment="1">
      <alignment horizontal="lef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0" fontId="6" fillId="8" borderId="0" xfId="0" applyFont="1" applyFill="1" applyAlignment="1">
      <alignment vertical="top" wrapText="1"/>
    </xf>
    <xf numFmtId="0" fontId="6" fillId="8" borderId="0" xfId="0" applyFont="1" applyFill="1" applyAlignment="1">
      <alignment horizontal="left" vertical="center" wrapText="1"/>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4" fillId="6" borderId="0" xfId="0" applyFont="1" applyFill="1" applyAlignment="1">
      <alignment vertical="center"/>
    </xf>
    <xf numFmtId="0" fontId="10" fillId="9" borderId="0" xfId="0" applyFont="1" applyFill="1" applyAlignment="1">
      <alignment vertical="center"/>
    </xf>
    <xf numFmtId="3" fontId="14" fillId="8" borderId="0" xfId="0" applyNumberFormat="1" applyFont="1" applyFill="1" applyAlignment="1">
      <alignment horizontal="center" vertical="center"/>
    </xf>
    <xf numFmtId="0" fontId="14" fillId="8" borderId="0" xfId="0" applyFont="1" applyFill="1" applyAlignment="1">
      <alignment horizontal="center" vertical="center"/>
    </xf>
    <xf numFmtId="0" fontId="15" fillId="9" borderId="0" xfId="0" applyFont="1" applyFill="1" applyAlignment="1">
      <alignment horizontal="center" vertical="center" wrapText="1"/>
    </xf>
    <xf numFmtId="0" fontId="21" fillId="5" borderId="0" xfId="0" applyFont="1" applyFill="1" applyAlignment="1">
      <alignment vertical="center" wrapText="1"/>
    </xf>
    <xf numFmtId="0" fontId="20" fillId="2" borderId="0" xfId="0" applyFont="1" applyFill="1" applyAlignment="1">
      <alignment vertical="top" wrapText="1"/>
    </xf>
    <xf numFmtId="0" fontId="7" fillId="2" borderId="0" xfId="0" applyFont="1" applyFill="1" applyAlignment="1">
      <alignment vertical="top" wrapText="1"/>
    </xf>
    <xf numFmtId="0" fontId="4" fillId="10" borderId="0" xfId="0" applyFont="1" applyFill="1" applyAlignment="1">
      <alignment vertical="center"/>
    </xf>
    <xf numFmtId="0" fontId="6" fillId="8" borderId="0" xfId="0" applyFont="1" applyFill="1" applyAlignment="1">
      <alignment horizontal="left" vertical="top" wrapText="1"/>
    </xf>
    <xf numFmtId="0" fontId="6" fillId="8" borderId="0" xfId="0" applyFont="1" applyFill="1" applyAlignment="1">
      <alignment horizontal="center" vertical="center" wrapText="1"/>
    </xf>
    <xf numFmtId="14" fontId="6" fillId="8" borderId="0" xfId="0" applyNumberFormat="1" applyFont="1" applyFill="1" applyAlignment="1">
      <alignment horizontal="center"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7" fillId="2" borderId="0" xfId="0" applyFont="1" applyFill="1" applyAlignment="1">
      <alignment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9" fillId="5" borderId="0" xfId="0" applyFont="1" applyFill="1" applyAlignment="1">
      <alignment horizontal="center" vertical="center" wrapText="1"/>
    </xf>
    <xf numFmtId="0" fontId="10" fillId="9" borderId="0" xfId="0" applyFont="1" applyFill="1" applyAlignment="1">
      <alignment horizontal="center" vertical="center" wrapText="1"/>
    </xf>
    <xf numFmtId="0" fontId="9" fillId="5" borderId="0" xfId="0" applyFont="1" applyFill="1" applyAlignment="1">
      <alignment vertical="center" wrapText="1"/>
    </xf>
    <xf numFmtId="0" fontId="6" fillId="8" borderId="0" xfId="0" applyFont="1" applyFill="1" applyAlignment="1">
      <alignment vertical="top" wrapText="1"/>
    </xf>
    <xf numFmtId="0" fontId="16" fillId="9" borderId="0" xfId="0" applyFont="1" applyFill="1" applyAlignment="1">
      <alignment horizontal="center" vertical="center"/>
    </xf>
    <xf numFmtId="0" fontId="17" fillId="8" borderId="0" xfId="0" applyFont="1" applyFill="1" applyAlignment="1">
      <alignment horizontal="center" vertical="center"/>
    </xf>
    <xf numFmtId="0" fontId="18" fillId="8" borderId="0" xfId="0" applyFont="1" applyFill="1" applyAlignment="1">
      <alignment horizontal="center" vertical="center"/>
    </xf>
    <xf numFmtId="38" fontId="14" fillId="8" borderId="0" xfId="0" applyNumberFormat="1" applyFont="1" applyFill="1" applyAlignment="1">
      <alignment horizontal="center" vertical="center"/>
    </xf>
    <xf numFmtId="0" fontId="0" fillId="2" borderId="0" xfId="0" applyFill="1" applyAlignment="1">
      <alignment horizontal="center" wrapText="1"/>
    </xf>
    <xf numFmtId="14" fontId="6" fillId="8" borderId="0" xfId="0" applyNumberFormat="1" applyFont="1" applyFill="1" applyAlignment="1">
      <alignment horizontal="left" vertical="center" wrapText="1"/>
    </xf>
    <xf numFmtId="0" fontId="23" fillId="8" borderId="0" xfId="2" applyFill="1" applyAlignment="1">
      <alignment horizontal="left" vertical="center" wrapText="1"/>
    </xf>
    <xf numFmtId="2" fontId="6" fillId="8" borderId="0" xfId="1" applyNumberFormat="1" applyFont="1" applyFill="1" applyAlignment="1">
      <alignment horizontal="center" vertical="center" wrapText="1"/>
    </xf>
    <xf numFmtId="2" fontId="6" fillId="8" borderId="0" xfId="1" applyNumberFormat="1" applyFont="1" applyFill="1" applyAlignment="1">
      <alignment vertical="center" wrapText="1"/>
    </xf>
    <xf numFmtId="10" fontId="6" fillId="8" borderId="0" xfId="0" applyNumberFormat="1" applyFont="1" applyFill="1" applyAlignment="1">
      <alignment horizontal="center" vertical="center" wrapText="1"/>
    </xf>
  </cellXfs>
  <cellStyles count="3">
    <cellStyle name="Hipervínculo" xfId="2" builtinId="8"/>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Actividades de alojamiento y de servicio de comidas</c:v>
                </c:pt>
              </c:strCache>
            </c:strRef>
          </c:cat>
          <c:val>
            <c:numRef>
              <c:f>'E5 Guatemala'!$F$15:$F$19</c:f>
              <c:numCache>
                <c:formatCode>0.00%</c:formatCode>
                <c:ptCount val="5"/>
                <c:pt idx="0">
                  <c:v>9.6580620350428512E-2</c:v>
                </c:pt>
                <c:pt idx="1">
                  <c:v>0.13539242480026467</c:v>
                </c:pt>
                <c:pt idx="2">
                  <c:v>5.4395361317796674E-2</c:v>
                </c:pt>
                <c:pt idx="3">
                  <c:v>0.21279323906513228</c:v>
                </c:pt>
                <c:pt idx="4">
                  <c:v>3.3185129932419344E-2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anguat.gob.gt/page/cuadros-estadisticos-resumid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zoomScale="70" zoomScaleNormal="70" workbookViewId="0">
      <selection activeCell="B13" sqref="B13:J13"/>
    </sheetView>
  </sheetViews>
  <sheetFormatPr baseColWidth="10" defaultColWidth="8.796875" defaultRowHeight="13.8"/>
  <cols>
    <col min="1" max="1" width="3" customWidth="1"/>
    <col min="2" max="10" width="17" customWidth="1"/>
    <col min="11" max="11" width="3" customWidth="1"/>
  </cols>
  <sheetData>
    <row r="1" spans="1:11">
      <c r="A1" s="1"/>
      <c r="B1" s="1"/>
      <c r="C1" s="1"/>
      <c r="D1" s="1"/>
      <c r="E1" s="1"/>
      <c r="F1" s="1"/>
      <c r="G1" s="1"/>
      <c r="H1" s="1"/>
      <c r="I1" s="1"/>
      <c r="J1" s="1"/>
      <c r="K1" s="1"/>
    </row>
    <row r="2" spans="1:11">
      <c r="A2" s="1"/>
      <c r="B2" s="28" t="s">
        <v>0</v>
      </c>
      <c r="C2" s="28"/>
      <c r="D2" s="28"/>
      <c r="E2" s="28"/>
      <c r="F2" s="28"/>
      <c r="G2" s="28"/>
      <c r="H2" s="28"/>
      <c r="I2" s="28"/>
      <c r="J2" s="28"/>
      <c r="K2" s="1"/>
    </row>
    <row r="3" spans="1:11">
      <c r="A3" s="1"/>
      <c r="B3" s="28"/>
      <c r="C3" s="28"/>
      <c r="D3" s="28"/>
      <c r="E3" s="28"/>
      <c r="F3" s="28"/>
      <c r="G3" s="28"/>
      <c r="H3" s="28"/>
      <c r="I3" s="28"/>
      <c r="J3" s="28"/>
      <c r="K3" s="1"/>
    </row>
    <row r="4" spans="1:11" ht="17.399999999999999">
      <c r="A4" s="1"/>
      <c r="B4" s="29" t="s">
        <v>1</v>
      </c>
      <c r="C4" s="29"/>
      <c r="D4" s="29"/>
      <c r="E4" s="29"/>
      <c r="F4" s="29"/>
      <c r="G4" s="29"/>
      <c r="H4" s="29"/>
      <c r="I4" s="29"/>
      <c r="J4" s="29"/>
      <c r="K4" s="1"/>
    </row>
    <row r="5" spans="1:11" ht="6.75" customHeight="1">
      <c r="A5" s="1"/>
      <c r="B5" s="15"/>
      <c r="C5" s="15"/>
      <c r="D5" s="15"/>
      <c r="E5" s="15"/>
      <c r="F5" s="15"/>
      <c r="G5" s="15"/>
      <c r="H5" s="15"/>
      <c r="I5" s="15"/>
      <c r="J5" s="15"/>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30" t="s">
        <v>2</v>
      </c>
      <c r="C8" s="30"/>
      <c r="D8" s="30"/>
      <c r="E8" s="30"/>
      <c r="F8" s="30"/>
      <c r="G8" s="30"/>
      <c r="H8" s="30"/>
      <c r="I8" s="30"/>
      <c r="J8" s="30"/>
      <c r="K8" s="1"/>
    </row>
    <row r="9" spans="1:11">
      <c r="A9" s="1"/>
      <c r="B9" s="30"/>
      <c r="C9" s="30"/>
      <c r="D9" s="30"/>
      <c r="E9" s="30"/>
      <c r="F9" s="30"/>
      <c r="G9" s="30"/>
      <c r="H9" s="30"/>
      <c r="I9" s="30"/>
      <c r="J9" s="30"/>
      <c r="K9" s="1"/>
    </row>
    <row r="10" spans="1:11">
      <c r="A10" s="1"/>
      <c r="B10" s="30"/>
      <c r="C10" s="30"/>
      <c r="D10" s="30"/>
      <c r="E10" s="30"/>
      <c r="F10" s="30"/>
      <c r="G10" s="30"/>
      <c r="H10" s="30"/>
      <c r="I10" s="30"/>
      <c r="J10" s="30"/>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6" t="s">
        <v>3</v>
      </c>
      <c r="C13" s="16"/>
      <c r="D13" s="16"/>
      <c r="E13" s="16"/>
      <c r="F13" s="16"/>
      <c r="G13" s="16"/>
      <c r="H13" s="16"/>
      <c r="I13" s="16"/>
      <c r="J13" s="16"/>
      <c r="K13" s="1"/>
    </row>
    <row r="14" spans="1:11" ht="17.399999999999999" customHeight="1">
      <c r="A14" s="1"/>
      <c r="B14" s="2" t="s">
        <v>4</v>
      </c>
      <c r="C14" s="26" t="s">
        <v>124</v>
      </c>
      <c r="D14" s="26"/>
      <c r="E14" s="26"/>
      <c r="F14" s="2" t="s">
        <v>5</v>
      </c>
      <c r="G14" s="3">
        <v>201110305</v>
      </c>
      <c r="H14" s="3"/>
      <c r="I14" s="3"/>
      <c r="J14" s="3"/>
      <c r="K14" s="1"/>
    </row>
    <row r="15" spans="1:11">
      <c r="A15" s="1"/>
      <c r="B15" s="1"/>
      <c r="C15" s="1"/>
      <c r="D15" s="1"/>
      <c r="E15" s="1"/>
      <c r="F15" s="1"/>
      <c r="G15" s="1"/>
      <c r="H15" s="1"/>
      <c r="I15" s="1"/>
      <c r="J15" s="1"/>
      <c r="K15" s="1"/>
    </row>
    <row r="16" spans="1:11">
      <c r="A16" s="1"/>
      <c r="B16" s="2" t="s">
        <v>6</v>
      </c>
      <c r="C16" s="27">
        <v>46262</v>
      </c>
      <c r="D16" s="27"/>
      <c r="E16" s="27"/>
      <c r="F16" s="2" t="s">
        <v>7</v>
      </c>
      <c r="G16" s="3" t="s">
        <v>125</v>
      </c>
      <c r="H16" s="3"/>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16" t="s">
        <v>8</v>
      </c>
      <c r="C19" s="16"/>
      <c r="D19" s="16"/>
      <c r="E19" s="16"/>
      <c r="F19" s="16"/>
      <c r="G19" s="16"/>
      <c r="H19" s="16"/>
      <c r="I19" s="16"/>
      <c r="J19" s="16"/>
      <c r="K19" s="1"/>
    </row>
    <row r="20" spans="1:11" ht="31.95" customHeight="1">
      <c r="A20" s="1"/>
      <c r="B20" s="31" t="s">
        <v>9</v>
      </c>
      <c r="C20" s="31"/>
      <c r="D20" s="31"/>
      <c r="E20" s="31"/>
      <c r="F20" s="31"/>
      <c r="G20" s="31"/>
      <c r="H20" s="31"/>
      <c r="I20" s="31"/>
      <c r="J20" s="31"/>
      <c r="K20" s="1"/>
    </row>
    <row r="21" spans="1:11" ht="31.95" customHeight="1">
      <c r="A21" s="1"/>
      <c r="B21" s="31" t="s">
        <v>10</v>
      </c>
      <c r="C21" s="31"/>
      <c r="D21" s="31"/>
      <c r="E21" s="31"/>
      <c r="F21" s="31"/>
      <c r="G21" s="31"/>
      <c r="H21" s="31"/>
      <c r="I21" s="31"/>
      <c r="J21" s="31"/>
      <c r="K21" s="1"/>
    </row>
    <row r="22" spans="1:11" ht="31.95" customHeight="1">
      <c r="A22" s="1"/>
      <c r="B22" s="31" t="s">
        <v>11</v>
      </c>
      <c r="C22" s="31"/>
      <c r="D22" s="31"/>
      <c r="E22" s="31"/>
      <c r="F22" s="31"/>
      <c r="G22" s="31"/>
      <c r="H22" s="31"/>
      <c r="I22" s="31"/>
      <c r="J22" s="31"/>
      <c r="K22" s="1"/>
    </row>
    <row r="23" spans="1:11" ht="31.95" customHeight="1">
      <c r="A23" s="1"/>
      <c r="B23" s="31" t="s">
        <v>12</v>
      </c>
      <c r="C23" s="31"/>
      <c r="D23" s="31"/>
      <c r="E23" s="31"/>
      <c r="F23" s="31"/>
      <c r="G23" s="31"/>
      <c r="H23" s="31"/>
      <c r="I23" s="31"/>
      <c r="J23" s="31"/>
      <c r="K23" s="1"/>
    </row>
    <row r="24" spans="1:11" ht="31.95" customHeight="1">
      <c r="A24" s="1"/>
      <c r="B24" s="31" t="s">
        <v>123</v>
      </c>
      <c r="C24" s="31"/>
      <c r="D24" s="31"/>
      <c r="E24" s="31"/>
      <c r="F24" s="31"/>
      <c r="G24" s="31"/>
      <c r="H24" s="31"/>
      <c r="I24" s="31"/>
      <c r="J24" s="3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6" t="s">
        <v>13</v>
      </c>
      <c r="C27" s="16"/>
      <c r="D27" s="16"/>
      <c r="E27" s="16"/>
      <c r="F27" s="16"/>
      <c r="G27" s="16"/>
      <c r="H27" s="16"/>
      <c r="I27" s="16"/>
      <c r="J27" s="16"/>
      <c r="K27" s="1"/>
    </row>
    <row r="28" spans="1:11">
      <c r="A28" s="1"/>
      <c r="B28" s="1"/>
      <c r="C28" s="1"/>
      <c r="D28" s="1"/>
      <c r="E28" s="1"/>
      <c r="F28" s="1"/>
      <c r="G28" s="1"/>
      <c r="H28" s="1"/>
      <c r="I28" s="1"/>
      <c r="J28" s="1"/>
      <c r="K28" s="1"/>
    </row>
    <row r="29" spans="1:11">
      <c r="A29" s="1"/>
      <c r="B29" s="32" t="s">
        <v>14</v>
      </c>
      <c r="C29" s="32"/>
      <c r="D29" s="32"/>
      <c r="E29" s="32" t="s">
        <v>15</v>
      </c>
      <c r="F29" s="32"/>
      <c r="G29" s="32"/>
      <c r="H29" s="32" t="s">
        <v>16</v>
      </c>
      <c r="I29" s="32"/>
      <c r="J29" s="32"/>
      <c r="K29" s="1"/>
    </row>
    <row r="30" spans="1:11">
      <c r="A30" s="1"/>
      <c r="B30" s="32"/>
      <c r="C30" s="32"/>
      <c r="D30" s="32"/>
      <c r="E30" s="32"/>
      <c r="F30" s="32"/>
      <c r="G30" s="32"/>
      <c r="H30" s="32"/>
      <c r="I30" s="32"/>
      <c r="J30" s="32"/>
      <c r="K30" s="1"/>
    </row>
    <row r="31" spans="1:11">
      <c r="A31" s="1"/>
      <c r="B31" s="32"/>
      <c r="C31" s="32"/>
      <c r="D31" s="32"/>
      <c r="E31" s="32"/>
      <c r="F31" s="32"/>
      <c r="G31" s="32"/>
      <c r="H31" s="32"/>
      <c r="I31" s="32"/>
      <c r="J31" s="32"/>
      <c r="K31" s="1"/>
    </row>
    <row r="32" spans="1:11">
      <c r="A32" s="1"/>
      <c r="B32" s="32"/>
      <c r="C32" s="32"/>
      <c r="D32" s="32"/>
      <c r="E32" s="32"/>
      <c r="F32" s="32"/>
      <c r="G32" s="32"/>
      <c r="H32" s="32"/>
      <c r="I32" s="32"/>
      <c r="J32" s="32"/>
      <c r="K32" s="1"/>
    </row>
    <row r="33" spans="1:11">
      <c r="A33" s="1"/>
      <c r="B33" s="1"/>
      <c r="C33" s="1"/>
      <c r="D33" s="1"/>
      <c r="E33" s="1"/>
      <c r="F33" s="1"/>
      <c r="G33" s="1"/>
      <c r="H33" s="1"/>
      <c r="I33" s="1"/>
      <c r="J33" s="1"/>
      <c r="K33" s="1"/>
    </row>
    <row r="34" spans="1:11">
      <c r="A34" s="1"/>
      <c r="B34" s="32" t="s">
        <v>17</v>
      </c>
      <c r="C34" s="32"/>
      <c r="D34" s="32"/>
      <c r="E34" s="32"/>
      <c r="F34" s="33" t="s">
        <v>18</v>
      </c>
      <c r="G34" s="33"/>
      <c r="H34" s="33"/>
      <c r="I34" s="33"/>
      <c r="J34" s="33"/>
      <c r="K34" s="1"/>
    </row>
    <row r="35" spans="1:11">
      <c r="A35" s="1"/>
      <c r="B35" s="32"/>
      <c r="C35" s="32"/>
      <c r="D35" s="32"/>
      <c r="E35" s="32"/>
      <c r="F35" s="33"/>
      <c r="G35" s="33"/>
      <c r="H35" s="33"/>
      <c r="I35" s="33"/>
      <c r="J35" s="33"/>
      <c r="K35" s="1"/>
    </row>
    <row r="36" spans="1:11">
      <c r="A36" s="1"/>
      <c r="B36" s="32"/>
      <c r="C36" s="32"/>
      <c r="D36" s="32"/>
      <c r="E36" s="32"/>
      <c r="F36" s="33"/>
      <c r="G36" s="33"/>
      <c r="H36" s="33"/>
      <c r="I36" s="33"/>
      <c r="J36" s="33"/>
      <c r="K36" s="1"/>
    </row>
    <row r="37" spans="1:11">
      <c r="A37" s="1"/>
      <c r="B37" s="32"/>
      <c r="C37" s="32"/>
      <c r="D37" s="32"/>
      <c r="E37" s="32"/>
      <c r="F37" s="33"/>
      <c r="G37" s="33"/>
      <c r="H37" s="33"/>
      <c r="I37" s="33"/>
      <c r="J37" s="33"/>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16" t="s">
        <v>19</v>
      </c>
      <c r="C40" s="16"/>
      <c r="D40" s="16"/>
      <c r="E40" s="16"/>
      <c r="F40" s="16"/>
      <c r="G40" s="16"/>
      <c r="H40" s="16"/>
      <c r="I40" s="16"/>
      <c r="J40" s="16"/>
      <c r="K40" s="1"/>
    </row>
    <row r="41" spans="1:11">
      <c r="A41" s="1"/>
      <c r="B41" s="34" t="s">
        <v>20</v>
      </c>
      <c r="C41" s="34"/>
      <c r="D41" s="34"/>
      <c r="E41" s="35" t="s">
        <v>21</v>
      </c>
      <c r="F41" s="35"/>
      <c r="G41" s="35"/>
      <c r="H41" s="36" t="s">
        <v>22</v>
      </c>
      <c r="I41" s="36"/>
      <c r="J41" s="36"/>
      <c r="K41" s="1"/>
    </row>
    <row r="42" spans="1:11">
      <c r="A42" s="1"/>
      <c r="B42" s="34"/>
      <c r="C42" s="34"/>
      <c r="D42" s="34"/>
      <c r="E42" s="35"/>
      <c r="F42" s="35"/>
      <c r="G42" s="35"/>
      <c r="H42" s="36"/>
      <c r="I42" s="36"/>
      <c r="J42" s="36"/>
      <c r="K42" s="1"/>
    </row>
    <row r="43" spans="1:11">
      <c r="A43" s="1"/>
      <c r="B43" s="34"/>
      <c r="C43" s="34"/>
      <c r="D43" s="34"/>
      <c r="E43" s="35"/>
      <c r="F43" s="35"/>
      <c r="G43" s="35"/>
      <c r="H43" s="36"/>
      <c r="I43" s="36"/>
      <c r="J43" s="36"/>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3">
    <mergeCell ref="B34:E37"/>
    <mergeCell ref="F34:J37"/>
    <mergeCell ref="B40:J40"/>
    <mergeCell ref="B41:D43"/>
    <mergeCell ref="E41:G43"/>
    <mergeCell ref="H41:J43"/>
    <mergeCell ref="B24:J24"/>
    <mergeCell ref="B27:J27"/>
    <mergeCell ref="B29:D32"/>
    <mergeCell ref="E29:G32"/>
    <mergeCell ref="H29:J32"/>
    <mergeCell ref="B19:J19"/>
    <mergeCell ref="B20:J20"/>
    <mergeCell ref="B21:J21"/>
    <mergeCell ref="B22:J22"/>
    <mergeCell ref="B23:J23"/>
    <mergeCell ref="C14:E14"/>
    <mergeCell ref="C16:E16"/>
    <mergeCell ref="B2:J3"/>
    <mergeCell ref="B4:J4"/>
    <mergeCell ref="B5:J5"/>
    <mergeCell ref="B8:J10"/>
    <mergeCell ref="B13:J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showGridLines="0" zoomScale="90" zoomScaleNormal="90" workbookViewId="0">
      <selection activeCell="B43" sqref="B43:J47"/>
    </sheetView>
  </sheetViews>
  <sheetFormatPr baseColWidth="10" defaultColWidth="8.796875" defaultRowHeight="13.8"/>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3" customHeight="1">
      <c r="A2" s="1"/>
      <c r="B2" s="13" t="s">
        <v>23</v>
      </c>
      <c r="C2" s="13"/>
      <c r="D2" s="13"/>
      <c r="E2" s="13"/>
      <c r="F2" s="13"/>
      <c r="G2" s="13"/>
      <c r="H2" s="13"/>
      <c r="I2" s="13"/>
      <c r="J2" s="13"/>
      <c r="K2" s="1"/>
    </row>
    <row r="3" spans="1:11" ht="30.75" customHeight="1">
      <c r="A3" s="1"/>
      <c r="B3" s="14" t="s">
        <v>24</v>
      </c>
      <c r="C3" s="14"/>
      <c r="D3" s="14"/>
      <c r="E3" s="14"/>
      <c r="F3" s="14"/>
      <c r="G3" s="14"/>
      <c r="H3" s="14"/>
      <c r="I3" s="14"/>
      <c r="J3" s="14"/>
      <c r="K3" s="1"/>
    </row>
    <row r="4" spans="1:11" ht="6.75" customHeight="1">
      <c r="A4" s="1"/>
      <c r="B4" s="15"/>
      <c r="C4" s="15"/>
      <c r="D4" s="15"/>
      <c r="E4" s="15"/>
      <c r="F4" s="15"/>
      <c r="G4" s="15"/>
      <c r="H4" s="15"/>
      <c r="I4" s="15"/>
      <c r="J4" s="15"/>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6" t="s">
        <v>25</v>
      </c>
      <c r="C7" s="16"/>
      <c r="D7" s="16"/>
      <c r="E7" s="16"/>
      <c r="F7" s="16"/>
      <c r="G7" s="1"/>
      <c r="H7" s="1"/>
      <c r="I7" s="1"/>
      <c r="J7" s="1"/>
      <c r="K7" s="1"/>
    </row>
    <row r="8" spans="1:11" ht="37.200000000000003" customHeight="1">
      <c r="A8" s="1"/>
      <c r="B8" s="4" t="s">
        <v>26</v>
      </c>
      <c r="C8" s="4" t="s">
        <v>27</v>
      </c>
      <c r="D8" s="4" t="s">
        <v>28</v>
      </c>
      <c r="E8" s="4" t="s">
        <v>29</v>
      </c>
      <c r="F8" s="4" t="s">
        <v>30</v>
      </c>
      <c r="G8" s="1"/>
      <c r="H8" s="1"/>
      <c r="I8" s="1"/>
      <c r="J8" s="1"/>
      <c r="K8" s="1"/>
    </row>
    <row r="9" spans="1:11">
      <c r="A9" s="1"/>
      <c r="B9" s="5" t="s">
        <v>31</v>
      </c>
      <c r="C9" s="6">
        <v>1650</v>
      </c>
      <c r="D9" s="6">
        <v>620</v>
      </c>
      <c r="E9" s="7">
        <f>C9-D9</f>
        <v>1030</v>
      </c>
      <c r="F9" s="8">
        <f>E9/$E$21</f>
        <v>0.2536945812807882</v>
      </c>
      <c r="G9" s="1"/>
      <c r="H9" s="1"/>
      <c r="I9" s="1"/>
      <c r="J9" s="1"/>
      <c r="K9" s="1"/>
    </row>
    <row r="10" spans="1:11">
      <c r="A10" s="1"/>
      <c r="B10" s="5" t="s">
        <v>32</v>
      </c>
      <c r="C10" s="6">
        <v>2900</v>
      </c>
      <c r="D10" s="6">
        <v>1750</v>
      </c>
      <c r="E10" s="7">
        <f t="shared" ref="E10:E12" si="0">C10-D10</f>
        <v>1150</v>
      </c>
      <c r="F10" s="8">
        <f t="shared" ref="F10:F12" si="1">E10/$E$21</f>
        <v>0.28325123152709358</v>
      </c>
      <c r="G10" s="1"/>
      <c r="H10" s="1"/>
      <c r="I10" s="1"/>
      <c r="J10" s="1"/>
      <c r="K10" s="1"/>
    </row>
    <row r="11" spans="1:11">
      <c r="A11" s="1"/>
      <c r="B11" s="5" t="s">
        <v>33</v>
      </c>
      <c r="C11" s="6">
        <v>1250</v>
      </c>
      <c r="D11" s="6">
        <v>720</v>
      </c>
      <c r="E11" s="7">
        <f t="shared" si="0"/>
        <v>530</v>
      </c>
      <c r="F11" s="8">
        <f t="shared" si="1"/>
        <v>0.13054187192118227</v>
      </c>
      <c r="G11" s="1"/>
      <c r="H11" s="1"/>
      <c r="I11" s="1"/>
      <c r="J11" s="1"/>
      <c r="K11" s="1"/>
    </row>
    <row r="12" spans="1:11">
      <c r="A12" s="1"/>
      <c r="B12" s="5" t="s">
        <v>34</v>
      </c>
      <c r="C12" s="6">
        <v>2400</v>
      </c>
      <c r="D12" s="6">
        <v>1050</v>
      </c>
      <c r="E12" s="7">
        <f t="shared" si="0"/>
        <v>1350</v>
      </c>
      <c r="F12" s="8">
        <f t="shared" si="1"/>
        <v>0.33251231527093594</v>
      </c>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ht="30.75" customHeight="1">
      <c r="A15" s="1"/>
      <c r="B15" s="16" t="s">
        <v>35</v>
      </c>
      <c r="C15" s="16"/>
      <c r="D15" s="16"/>
      <c r="E15" s="16"/>
      <c r="F15" s="16"/>
      <c r="G15" s="1"/>
      <c r="H15" s="1"/>
      <c r="I15" s="1"/>
      <c r="J15" s="1"/>
      <c r="K15" s="1"/>
    </row>
    <row r="16" spans="1:11">
      <c r="A16" s="1"/>
      <c r="B16" s="5" t="s">
        <v>36</v>
      </c>
      <c r="C16" s="6">
        <v>420</v>
      </c>
      <c r="D16" s="1"/>
      <c r="E16" s="1"/>
      <c r="F16" s="1"/>
      <c r="G16" s="1"/>
      <c r="H16" s="1"/>
      <c r="I16" s="1"/>
      <c r="J16" s="1"/>
      <c r="K16" s="1"/>
    </row>
    <row r="17" spans="1:11">
      <c r="A17" s="1"/>
      <c r="B17" s="5" t="s">
        <v>37</v>
      </c>
      <c r="C17" s="6">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16" t="s">
        <v>38</v>
      </c>
      <c r="C20" s="16"/>
      <c r="D20" s="16"/>
      <c r="E20" s="16"/>
      <c r="F20" s="16"/>
      <c r="G20" s="16"/>
      <c r="H20" s="1"/>
      <c r="I20" s="1"/>
      <c r="J20" s="1"/>
      <c r="K20" s="1"/>
    </row>
    <row r="21" spans="1:11" ht="33.299999999999997" customHeight="1">
      <c r="A21" s="1"/>
      <c r="B21" s="17" t="s">
        <v>39</v>
      </c>
      <c r="C21" s="17"/>
      <c r="D21" s="17"/>
      <c r="E21" s="18">
        <f>SUM(E9:E12)</f>
        <v>4060</v>
      </c>
      <c r="F21" s="19"/>
      <c r="G21" s="19"/>
      <c r="H21" s="1"/>
      <c r="I21" s="1"/>
      <c r="J21" s="1"/>
      <c r="K21" s="1"/>
    </row>
    <row r="22" spans="1:11">
      <c r="A22" s="1"/>
      <c r="B22" s="1"/>
      <c r="C22" s="1"/>
      <c r="D22" s="1"/>
      <c r="E22" s="1"/>
      <c r="F22" s="1"/>
      <c r="G22" s="1"/>
      <c r="H22" s="1"/>
      <c r="I22" s="1"/>
      <c r="J22" s="1"/>
      <c r="K22" s="1"/>
    </row>
    <row r="23" spans="1:11" ht="33.299999999999997" customHeight="1">
      <c r="A23" s="1"/>
      <c r="B23" s="17" t="s">
        <v>40</v>
      </c>
      <c r="C23" s="17"/>
      <c r="D23" s="17"/>
      <c r="E23" s="18">
        <f>C16-C17</f>
        <v>380</v>
      </c>
      <c r="F23" s="19"/>
      <c r="G23" s="19"/>
      <c r="H23" s="1"/>
      <c r="I23" s="1"/>
      <c r="J23" s="1"/>
      <c r="K23" s="1"/>
    </row>
    <row r="24" spans="1:11">
      <c r="A24" s="1"/>
      <c r="B24" s="1"/>
      <c r="C24" s="1"/>
      <c r="D24" s="1"/>
      <c r="E24" s="1"/>
      <c r="F24" s="1"/>
      <c r="G24" s="1"/>
      <c r="H24" s="1"/>
      <c r="I24" s="1"/>
      <c r="J24" s="1"/>
      <c r="K24" s="1"/>
    </row>
    <row r="25" spans="1:11" ht="33.299999999999997" customHeight="1">
      <c r="A25" s="1"/>
      <c r="B25" s="17" t="s">
        <v>41</v>
      </c>
      <c r="C25" s="17"/>
      <c r="D25" s="17"/>
      <c r="E25" s="18">
        <f>E21+E23</f>
        <v>4440</v>
      </c>
      <c r="F25" s="19"/>
      <c r="G25" s="19"/>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6" t="s">
        <v>42</v>
      </c>
      <c r="C28" s="16"/>
      <c r="D28" s="16"/>
      <c r="E28" s="16"/>
      <c r="F28" s="16"/>
      <c r="G28" s="16"/>
      <c r="H28" s="1"/>
      <c r="I28" s="1"/>
      <c r="J28" s="1"/>
      <c r="K28" s="1"/>
    </row>
    <row r="29" spans="1:11" ht="21.6" customHeight="1">
      <c r="A29" s="1"/>
      <c r="B29" s="25" t="s">
        <v>126</v>
      </c>
      <c r="C29" s="25"/>
      <c r="D29" s="12" t="s">
        <v>130</v>
      </c>
      <c r="E29" s="12"/>
      <c r="F29" s="12"/>
      <c r="G29" s="11"/>
      <c r="H29" s="1"/>
      <c r="I29" s="1"/>
      <c r="J29" s="1"/>
      <c r="K29" s="1"/>
    </row>
    <row r="30" spans="1:11" ht="21.6" customHeight="1">
      <c r="A30" s="1"/>
      <c r="B30" s="25" t="s">
        <v>127</v>
      </c>
      <c r="C30" s="25"/>
      <c r="D30" s="12" t="s">
        <v>131</v>
      </c>
      <c r="E30" s="12"/>
      <c r="F30" s="12"/>
      <c r="G30" s="11"/>
      <c r="H30" s="1"/>
      <c r="I30" s="1"/>
      <c r="J30" s="1"/>
      <c r="K30" s="1"/>
    </row>
    <row r="31" spans="1:11" ht="21.6" customHeight="1">
      <c r="A31" s="1"/>
      <c r="B31" s="25" t="s">
        <v>128</v>
      </c>
      <c r="C31" s="25"/>
      <c r="D31" s="12" t="s">
        <v>132</v>
      </c>
      <c r="E31" s="12"/>
      <c r="F31" s="12"/>
      <c r="G31" s="11"/>
      <c r="H31" s="1"/>
      <c r="I31" s="1"/>
      <c r="J31" s="1"/>
      <c r="K31" s="1"/>
    </row>
    <row r="32" spans="1:11" ht="21.6" customHeight="1">
      <c r="A32" s="1"/>
      <c r="B32" s="25" t="s">
        <v>129</v>
      </c>
      <c r="C32" s="25"/>
      <c r="D32" s="12"/>
      <c r="E32" s="12"/>
      <c r="F32" s="12"/>
      <c r="G32" s="11"/>
      <c r="H32" s="1"/>
      <c r="I32" s="1"/>
      <c r="J32" s="1"/>
      <c r="K32" s="1"/>
    </row>
    <row r="33" spans="1:11" ht="21.6" customHeight="1">
      <c r="A33" s="1"/>
      <c r="B33" s="25"/>
      <c r="C33" s="25"/>
      <c r="D33" s="12"/>
      <c r="E33" s="12"/>
      <c r="F33" s="12"/>
      <c r="G33" s="1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24" t="s">
        <v>43</v>
      </c>
      <c r="C36" s="24"/>
      <c r="D36" s="24"/>
      <c r="E36" s="24"/>
      <c r="F36" s="24"/>
      <c r="G36" s="24"/>
      <c r="H36" s="24"/>
      <c r="I36" s="24"/>
      <c r="J36" s="24"/>
      <c r="K36" s="1"/>
    </row>
    <row r="37" spans="1:11">
      <c r="A37" s="1"/>
      <c r="B37" s="20" t="s">
        <v>44</v>
      </c>
      <c r="C37" s="20"/>
      <c r="D37" s="20"/>
      <c r="E37" s="20"/>
      <c r="F37" s="20"/>
      <c r="G37" s="20"/>
      <c r="H37" s="20"/>
      <c r="I37" s="20"/>
      <c r="J37" s="20"/>
      <c r="K37" s="1"/>
    </row>
    <row r="38" spans="1:11">
      <c r="A38" s="1"/>
      <c r="B38" s="20"/>
      <c r="C38" s="20"/>
      <c r="D38" s="20"/>
      <c r="E38" s="20"/>
      <c r="F38" s="20"/>
      <c r="G38" s="20"/>
      <c r="H38" s="20"/>
      <c r="I38" s="20"/>
      <c r="J38" s="20"/>
      <c r="K38" s="1"/>
    </row>
    <row r="39" spans="1:11">
      <c r="A39" s="1"/>
      <c r="B39" s="20"/>
      <c r="C39" s="20"/>
      <c r="D39" s="20"/>
      <c r="E39" s="20"/>
      <c r="F39" s="20"/>
      <c r="G39" s="20"/>
      <c r="H39" s="20"/>
      <c r="I39" s="20"/>
      <c r="J39" s="20"/>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21" t="s">
        <v>45</v>
      </c>
      <c r="C42" s="21"/>
      <c r="D42" s="21"/>
      <c r="E42" s="21"/>
      <c r="F42" s="21"/>
      <c r="G42" s="21"/>
      <c r="H42" s="21"/>
      <c r="I42" s="21"/>
      <c r="J42" s="21"/>
      <c r="K42" s="1"/>
    </row>
    <row r="43" spans="1:11" ht="31.95" customHeight="1">
      <c r="A43" s="1"/>
      <c r="B43" s="22" t="s">
        <v>134</v>
      </c>
      <c r="C43" s="23"/>
      <c r="D43" s="23"/>
      <c r="E43" s="23"/>
      <c r="F43" s="23"/>
      <c r="G43" s="23"/>
      <c r="H43" s="23"/>
      <c r="I43" s="23"/>
      <c r="J43" s="23"/>
      <c r="K43" s="1"/>
    </row>
    <row r="44" spans="1:11" ht="31.95" customHeight="1">
      <c r="A44" s="1"/>
      <c r="B44" s="23"/>
      <c r="C44" s="23"/>
      <c r="D44" s="23"/>
      <c r="E44" s="23"/>
      <c r="F44" s="23"/>
      <c r="G44" s="23"/>
      <c r="H44" s="23"/>
      <c r="I44" s="23"/>
      <c r="J44" s="23"/>
      <c r="K44" s="1"/>
    </row>
    <row r="45" spans="1:11" ht="31.95" customHeight="1">
      <c r="A45" s="1"/>
      <c r="B45" s="23"/>
      <c r="C45" s="23"/>
      <c r="D45" s="23"/>
      <c r="E45" s="23"/>
      <c r="F45" s="23"/>
      <c r="G45" s="23"/>
      <c r="H45" s="23"/>
      <c r="I45" s="23"/>
      <c r="J45" s="23"/>
      <c r="K45" s="1"/>
    </row>
    <row r="46" spans="1:11" ht="31.95" customHeight="1">
      <c r="A46" s="1"/>
      <c r="B46" s="23"/>
      <c r="C46" s="23"/>
      <c r="D46" s="23"/>
      <c r="E46" s="23"/>
      <c r="F46" s="23"/>
      <c r="G46" s="23"/>
      <c r="H46" s="23"/>
      <c r="I46" s="23"/>
      <c r="J46" s="23"/>
      <c r="K46" s="1"/>
    </row>
    <row r="47" spans="1:11" ht="31.95" customHeight="1">
      <c r="A47" s="1"/>
      <c r="B47" s="23"/>
      <c r="C47" s="23"/>
      <c r="D47" s="23"/>
      <c r="E47" s="23"/>
      <c r="F47" s="23"/>
      <c r="G47" s="23"/>
      <c r="H47" s="23"/>
      <c r="I47" s="23"/>
      <c r="J47" s="23"/>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43"/>
      <c r="C50" s="43"/>
      <c r="D50" s="43"/>
      <c r="E50" s="43"/>
      <c r="F50" s="43"/>
      <c r="G50" s="43"/>
      <c r="H50" s="43"/>
      <c r="I50" s="1"/>
      <c r="J50" s="1"/>
      <c r="K50" s="1"/>
    </row>
    <row r="51" spans="1:11">
      <c r="A51" s="1"/>
      <c r="B51" s="43"/>
      <c r="C51" s="43"/>
      <c r="D51" s="43"/>
      <c r="E51" s="43"/>
      <c r="F51" s="43"/>
      <c r="G51" s="43"/>
      <c r="H51" s="43"/>
      <c r="I51" s="1"/>
      <c r="J51" s="1"/>
      <c r="K51" s="1"/>
    </row>
    <row r="52" spans="1:11">
      <c r="B52" s="43"/>
      <c r="C52" s="43"/>
      <c r="D52" s="43"/>
      <c r="E52" s="43"/>
      <c r="F52" s="43"/>
      <c r="G52" s="43"/>
      <c r="H52" s="43"/>
    </row>
    <row r="53" spans="1:11">
      <c r="B53" s="43"/>
      <c r="C53" s="43"/>
      <c r="D53" s="43"/>
      <c r="E53" s="43"/>
      <c r="F53" s="43"/>
      <c r="G53" s="43"/>
      <c r="H53" s="43"/>
    </row>
  </sheetData>
  <mergeCells count="28">
    <mergeCell ref="B50:H53"/>
    <mergeCell ref="B37:J39"/>
    <mergeCell ref="B42:J42"/>
    <mergeCell ref="B43:J47"/>
    <mergeCell ref="B25:D25"/>
    <mergeCell ref="E25:G25"/>
    <mergeCell ref="B28:G28"/>
    <mergeCell ref="B36:J36"/>
    <mergeCell ref="B30:C30"/>
    <mergeCell ref="B29:C29"/>
    <mergeCell ref="B32:C32"/>
    <mergeCell ref="B31:C31"/>
    <mergeCell ref="B33:C33"/>
    <mergeCell ref="D29:F29"/>
    <mergeCell ref="D30:F30"/>
    <mergeCell ref="D31:F31"/>
    <mergeCell ref="D32:F32"/>
    <mergeCell ref="D33:F33"/>
    <mergeCell ref="B2:J2"/>
    <mergeCell ref="B3:J3"/>
    <mergeCell ref="B4:J4"/>
    <mergeCell ref="B7:F7"/>
    <mergeCell ref="B15:F15"/>
    <mergeCell ref="B20:G20"/>
    <mergeCell ref="B21:D21"/>
    <mergeCell ref="E21:G21"/>
    <mergeCell ref="B23:D23"/>
    <mergeCell ref="E23:G23"/>
  </mergeCells>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
  <sheetViews>
    <sheetView showGridLines="0" zoomScale="90" zoomScaleNormal="90" workbookViewId="0">
      <selection activeCell="B42" sqref="B42:G47"/>
    </sheetView>
  </sheetViews>
  <sheetFormatPr baseColWidth="10" defaultColWidth="8.796875" defaultRowHeight="13.8"/>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3" customHeight="1">
      <c r="A2" s="1"/>
      <c r="B2" s="13" t="s">
        <v>46</v>
      </c>
      <c r="C2" s="13"/>
      <c r="D2" s="13"/>
      <c r="E2" s="13"/>
      <c r="F2" s="13"/>
      <c r="G2" s="13"/>
      <c r="H2" s="1"/>
      <c r="I2" s="1"/>
      <c r="J2" s="1"/>
      <c r="K2" s="1"/>
    </row>
    <row r="3" spans="1:11" ht="30.75" customHeight="1">
      <c r="A3" s="1"/>
      <c r="B3" s="14" t="s">
        <v>47</v>
      </c>
      <c r="C3" s="14"/>
      <c r="D3" s="14"/>
      <c r="E3" s="14"/>
      <c r="F3" s="14"/>
      <c r="G3" s="14"/>
      <c r="H3" s="1"/>
      <c r="I3" s="1"/>
      <c r="J3" s="1"/>
      <c r="K3" s="1"/>
    </row>
    <row r="4" spans="1:11" ht="6.75" customHeight="1">
      <c r="A4" s="1"/>
      <c r="B4" s="15"/>
      <c r="C4" s="15"/>
      <c r="D4" s="15"/>
      <c r="E4" s="15"/>
      <c r="F4" s="15"/>
      <c r="G4" s="15"/>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6" t="s">
        <v>48</v>
      </c>
      <c r="C7" s="16"/>
      <c r="D7" s="1"/>
      <c r="E7" s="1"/>
      <c r="F7" s="1"/>
      <c r="G7" s="1"/>
      <c r="H7" s="1"/>
      <c r="I7" s="1"/>
      <c r="J7" s="1"/>
      <c r="K7" s="1"/>
    </row>
    <row r="8" spans="1:11" ht="37.200000000000003" customHeight="1">
      <c r="A8" s="1"/>
      <c r="B8" s="4" t="s">
        <v>49</v>
      </c>
      <c r="C8" s="4" t="s">
        <v>50</v>
      </c>
      <c r="D8" s="1"/>
      <c r="E8" s="1"/>
      <c r="F8" s="1"/>
      <c r="G8" s="1"/>
      <c r="H8" s="1"/>
      <c r="I8" s="1"/>
      <c r="J8" s="1"/>
      <c r="K8" s="1"/>
    </row>
    <row r="9" spans="1:11">
      <c r="A9" s="1"/>
      <c r="B9" s="5" t="s">
        <v>51</v>
      </c>
      <c r="C9" s="9">
        <v>5100</v>
      </c>
      <c r="D9" s="1"/>
      <c r="E9" s="1"/>
      <c r="F9" s="1"/>
      <c r="G9" s="1"/>
      <c r="H9" s="1"/>
      <c r="I9" s="1"/>
      <c r="J9" s="1"/>
      <c r="K9" s="1"/>
    </row>
    <row r="10" spans="1:11">
      <c r="A10" s="1"/>
      <c r="B10" s="5" t="s">
        <v>52</v>
      </c>
      <c r="C10" s="9">
        <v>1150</v>
      </c>
      <c r="D10" s="1"/>
      <c r="E10" s="1"/>
      <c r="F10" s="1"/>
      <c r="G10" s="1"/>
      <c r="H10" s="1"/>
      <c r="I10" s="1"/>
      <c r="J10" s="1"/>
      <c r="K10" s="1"/>
    </row>
    <row r="11" spans="1:11">
      <c r="A11" s="1"/>
      <c r="B11" s="5" t="s">
        <v>53</v>
      </c>
      <c r="C11" s="9">
        <v>1700</v>
      </c>
      <c r="D11" s="1"/>
      <c r="E11" s="1"/>
      <c r="F11" s="1"/>
      <c r="G11" s="1"/>
      <c r="H11" s="1"/>
      <c r="I11" s="1"/>
      <c r="J11" s="1"/>
      <c r="K11" s="1"/>
    </row>
    <row r="12" spans="1:11">
      <c r="A12" s="1"/>
      <c r="B12" s="5" t="s">
        <v>54</v>
      </c>
      <c r="C12" s="9">
        <v>-120</v>
      </c>
      <c r="D12" s="1"/>
      <c r="E12" s="1"/>
      <c r="F12" s="1"/>
      <c r="G12" s="1"/>
      <c r="H12" s="1"/>
      <c r="I12" s="1"/>
      <c r="J12" s="1"/>
      <c r="K12" s="1"/>
    </row>
    <row r="13" spans="1:11">
      <c r="A13" s="1"/>
      <c r="B13" s="5" t="s">
        <v>55</v>
      </c>
      <c r="C13" s="9">
        <v>1250</v>
      </c>
      <c r="D13" s="1"/>
      <c r="E13" s="1"/>
      <c r="F13" s="1"/>
      <c r="G13" s="1"/>
      <c r="H13" s="1"/>
      <c r="I13" s="1"/>
      <c r="J13" s="1"/>
      <c r="K13" s="1"/>
    </row>
    <row r="14" spans="1:11">
      <c r="A14" s="1"/>
      <c r="B14" s="5" t="s">
        <v>56</v>
      </c>
      <c r="C14" s="9">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16" t="s">
        <v>57</v>
      </c>
      <c r="C17" s="16"/>
      <c r="D17" s="16"/>
      <c r="E17" s="16"/>
      <c r="F17" s="16"/>
      <c r="G17" s="16"/>
      <c r="H17" s="1"/>
      <c r="I17" s="1"/>
      <c r="J17" s="1"/>
      <c r="K17" s="1"/>
    </row>
    <row r="18" spans="1:11" ht="33.299999999999997" customHeight="1">
      <c r="A18" s="1"/>
      <c r="B18" s="17" t="s">
        <v>58</v>
      </c>
      <c r="C18" s="17"/>
      <c r="D18" s="17"/>
      <c r="E18" s="42">
        <f>C11+C12</f>
        <v>1580</v>
      </c>
      <c r="F18" s="19"/>
      <c r="G18" s="19"/>
      <c r="H18" s="1"/>
      <c r="I18" s="1"/>
      <c r="J18" s="1"/>
      <c r="K18" s="1"/>
    </row>
    <row r="19" spans="1:11">
      <c r="A19" s="1"/>
      <c r="B19" s="1"/>
      <c r="C19" s="1"/>
      <c r="D19" s="1"/>
      <c r="E19" s="1"/>
      <c r="F19" s="1"/>
      <c r="G19" s="1"/>
      <c r="H19" s="1"/>
      <c r="I19" s="1"/>
      <c r="J19" s="1"/>
      <c r="K19" s="1"/>
    </row>
    <row r="20" spans="1:11" ht="33.299999999999997" customHeight="1">
      <c r="A20" s="1"/>
      <c r="B20" s="17" t="s">
        <v>59</v>
      </c>
      <c r="C20" s="17"/>
      <c r="D20" s="17"/>
      <c r="E20" s="42">
        <f>C13-C14</f>
        <v>-390</v>
      </c>
      <c r="F20" s="19"/>
      <c r="G20" s="19"/>
      <c r="H20" s="1"/>
      <c r="I20" s="1"/>
      <c r="J20" s="1"/>
      <c r="K20" s="1"/>
    </row>
    <row r="21" spans="1:11">
      <c r="A21" s="1"/>
      <c r="B21" s="1"/>
      <c r="C21" s="1"/>
      <c r="D21" s="1"/>
      <c r="E21" s="1"/>
      <c r="F21" s="1"/>
      <c r="G21" s="1"/>
      <c r="H21" s="1"/>
      <c r="I21" s="1"/>
      <c r="J21" s="1"/>
      <c r="K21" s="1"/>
    </row>
    <row r="22" spans="1:11" ht="33.299999999999997" customHeight="1">
      <c r="A22" s="1"/>
      <c r="B22" s="17" t="s">
        <v>60</v>
      </c>
      <c r="C22" s="17"/>
      <c r="D22" s="17"/>
      <c r="E22" s="42">
        <f>C9+E18+C10+E20</f>
        <v>7440</v>
      </c>
      <c r="F22" s="19"/>
      <c r="G22" s="19"/>
      <c r="H22" s="1"/>
      <c r="I22" s="1"/>
      <c r="J22" s="1"/>
      <c r="K22" s="1"/>
    </row>
    <row r="23" spans="1:11">
      <c r="A23" s="1"/>
      <c r="B23" s="1"/>
      <c r="C23" s="1"/>
      <c r="D23" s="1"/>
      <c r="E23" s="1"/>
      <c r="F23" s="1"/>
      <c r="G23" s="1"/>
      <c r="H23" s="1"/>
      <c r="I23" s="1"/>
      <c r="J23" s="1"/>
      <c r="K23" s="1"/>
    </row>
    <row r="24" spans="1:11" ht="33.299999999999997" customHeight="1">
      <c r="A24" s="1"/>
      <c r="B24" s="17" t="s">
        <v>61</v>
      </c>
      <c r="C24" s="17"/>
      <c r="D24" s="17"/>
      <c r="E24" s="42">
        <f>E22+250</f>
        <v>7690</v>
      </c>
      <c r="F24" s="19"/>
      <c r="G24" s="19"/>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6" t="s">
        <v>42</v>
      </c>
      <c r="C27" s="16"/>
      <c r="D27" s="16"/>
      <c r="E27" s="16"/>
      <c r="F27" s="16"/>
      <c r="G27" s="16"/>
      <c r="H27" s="1"/>
      <c r="I27" s="1"/>
      <c r="J27" s="1"/>
      <c r="K27" s="1"/>
    </row>
    <row r="28" spans="1:11">
      <c r="A28" s="1"/>
      <c r="B28" s="38" t="s">
        <v>133</v>
      </c>
      <c r="C28" s="38"/>
      <c r="D28" s="38"/>
      <c r="E28" s="38"/>
      <c r="F28" s="38"/>
      <c r="G28" s="38"/>
      <c r="H28" s="1"/>
      <c r="I28" s="1"/>
      <c r="J28" s="1"/>
      <c r="K28" s="1"/>
    </row>
    <row r="29" spans="1:11">
      <c r="A29" s="1"/>
      <c r="B29" s="38"/>
      <c r="C29" s="38"/>
      <c r="D29" s="38"/>
      <c r="E29" s="38"/>
      <c r="F29" s="38"/>
      <c r="G29" s="38"/>
      <c r="H29" s="1"/>
      <c r="I29" s="1"/>
      <c r="J29" s="1"/>
      <c r="K29" s="1"/>
    </row>
    <row r="30" spans="1:11">
      <c r="A30" s="1"/>
      <c r="B30" s="38"/>
      <c r="C30" s="38"/>
      <c r="D30" s="38"/>
      <c r="E30" s="38"/>
      <c r="F30" s="38"/>
      <c r="G30" s="38"/>
      <c r="H30" s="1"/>
      <c r="I30" s="1"/>
      <c r="J30" s="1"/>
      <c r="K30" s="1"/>
    </row>
    <row r="31" spans="1:11">
      <c r="A31" s="1"/>
      <c r="B31" s="38"/>
      <c r="C31" s="38"/>
      <c r="D31" s="38"/>
      <c r="E31" s="38"/>
      <c r="F31" s="38"/>
      <c r="G31" s="38"/>
      <c r="H31" s="1"/>
      <c r="I31" s="1"/>
      <c r="J31" s="1"/>
      <c r="K31" s="1"/>
    </row>
    <row r="32" spans="1:11">
      <c r="A32" s="1"/>
      <c r="B32" s="38"/>
      <c r="C32" s="38"/>
      <c r="D32" s="38"/>
      <c r="E32" s="38"/>
      <c r="F32" s="38"/>
      <c r="G32" s="38"/>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4" t="s">
        <v>62</v>
      </c>
      <c r="C35" s="24"/>
      <c r="D35" s="24"/>
      <c r="E35" s="24"/>
      <c r="F35" s="24"/>
      <c r="G35" s="24"/>
      <c r="H35" s="1"/>
      <c r="I35" s="1"/>
      <c r="J35" s="1"/>
      <c r="K35" s="1"/>
    </row>
    <row r="36" spans="1:11">
      <c r="A36" s="1"/>
      <c r="B36" s="20" t="s">
        <v>63</v>
      </c>
      <c r="C36" s="20"/>
      <c r="D36" s="20"/>
      <c r="E36" s="20"/>
      <c r="F36" s="20"/>
      <c r="G36" s="20"/>
      <c r="H36" s="1"/>
      <c r="I36" s="1"/>
      <c r="J36" s="1"/>
      <c r="K36" s="1"/>
    </row>
    <row r="37" spans="1:11">
      <c r="A37" s="1"/>
      <c r="B37" s="20"/>
      <c r="C37" s="20"/>
      <c r="D37" s="20"/>
      <c r="E37" s="20"/>
      <c r="F37" s="20"/>
      <c r="G37" s="20"/>
      <c r="H37" s="1"/>
      <c r="I37" s="1"/>
      <c r="J37" s="1"/>
      <c r="K37" s="1"/>
    </row>
    <row r="38" spans="1:11">
      <c r="A38" s="1"/>
      <c r="B38" s="20"/>
      <c r="C38" s="20"/>
      <c r="D38" s="20"/>
      <c r="E38" s="20"/>
      <c r="F38" s="20"/>
      <c r="G38" s="20"/>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21" t="s">
        <v>64</v>
      </c>
      <c r="C41" s="21"/>
      <c r="D41" s="21"/>
      <c r="E41" s="21"/>
      <c r="F41" s="21"/>
      <c r="G41" s="21"/>
      <c r="H41" s="1"/>
      <c r="I41" s="1"/>
      <c r="J41" s="1"/>
      <c r="K41" s="1"/>
    </row>
    <row r="42" spans="1:11" ht="31.95" customHeight="1">
      <c r="A42" s="1"/>
      <c r="B42" s="22" t="s">
        <v>135</v>
      </c>
      <c r="C42" s="22"/>
      <c r="D42" s="22"/>
      <c r="E42" s="22"/>
      <c r="F42" s="22"/>
      <c r="G42" s="22"/>
      <c r="H42" s="1"/>
      <c r="I42" s="1"/>
      <c r="J42" s="1"/>
      <c r="K42" s="1"/>
    </row>
    <row r="43" spans="1:11" ht="31.95" customHeight="1">
      <c r="A43" s="1"/>
      <c r="B43" s="22"/>
      <c r="C43" s="22"/>
      <c r="D43" s="22"/>
      <c r="E43" s="22"/>
      <c r="F43" s="22"/>
      <c r="G43" s="22"/>
      <c r="H43" s="1"/>
      <c r="I43" s="1"/>
      <c r="J43" s="1"/>
      <c r="K43" s="1"/>
    </row>
    <row r="44" spans="1:11" ht="31.95" customHeight="1">
      <c r="A44" s="1"/>
      <c r="B44" s="22"/>
      <c r="C44" s="22"/>
      <c r="D44" s="22"/>
      <c r="E44" s="22"/>
      <c r="F44" s="22"/>
      <c r="G44" s="22"/>
      <c r="H44" s="1"/>
      <c r="I44" s="1"/>
      <c r="J44" s="1"/>
      <c r="K44" s="1"/>
    </row>
    <row r="45" spans="1:11" ht="31.95" customHeight="1">
      <c r="A45" s="1"/>
      <c r="B45" s="22"/>
      <c r="C45" s="22"/>
      <c r="D45" s="22"/>
      <c r="E45" s="22"/>
      <c r="F45" s="22"/>
      <c r="G45" s="22"/>
      <c r="H45" s="1"/>
      <c r="I45" s="1"/>
      <c r="J45" s="1"/>
      <c r="K45" s="1"/>
    </row>
    <row r="46" spans="1:11" ht="31.95" customHeight="1">
      <c r="A46" s="1"/>
      <c r="B46" s="22"/>
      <c r="C46" s="22"/>
      <c r="D46" s="22"/>
      <c r="E46" s="22"/>
      <c r="F46" s="22"/>
      <c r="G46" s="22"/>
      <c r="H46" s="1"/>
      <c r="I46" s="1"/>
      <c r="J46" s="1"/>
      <c r="K46" s="1"/>
    </row>
    <row r="47" spans="1:11" ht="31.95" customHeight="1">
      <c r="A47" s="1"/>
      <c r="B47" s="22"/>
      <c r="C47" s="22"/>
      <c r="D47" s="22"/>
      <c r="E47" s="22"/>
      <c r="F47" s="22"/>
      <c r="G47" s="22"/>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43"/>
      <c r="C51" s="43"/>
      <c r="D51" s="43"/>
      <c r="E51" s="43"/>
      <c r="F51" s="1"/>
      <c r="G51" s="1"/>
      <c r="H51" s="1"/>
      <c r="I51" s="1"/>
      <c r="J51" s="1"/>
      <c r="K51" s="1"/>
    </row>
    <row r="52" spans="1:11">
      <c r="A52" s="1"/>
      <c r="B52" s="43"/>
      <c r="C52" s="43"/>
      <c r="D52" s="43"/>
      <c r="E52" s="43"/>
      <c r="F52" s="1"/>
      <c r="G52" s="1"/>
      <c r="H52" s="1"/>
      <c r="I52" s="1"/>
      <c r="J52" s="1"/>
      <c r="K52" s="1"/>
    </row>
    <row r="53" spans="1:11">
      <c r="B53" s="43"/>
      <c r="C53" s="43"/>
      <c r="D53" s="43"/>
      <c r="E53" s="43"/>
    </row>
    <row r="54" spans="1:11">
      <c r="B54" s="43"/>
      <c r="C54" s="43"/>
      <c r="D54" s="43"/>
      <c r="E54" s="43"/>
    </row>
    <row r="55" spans="1:11">
      <c r="B55" s="43"/>
      <c r="C55" s="43"/>
      <c r="D55" s="43"/>
      <c r="E55" s="43"/>
    </row>
  </sheetData>
  <mergeCells count="20">
    <mergeCell ref="B51:E55"/>
    <mergeCell ref="B36:G38"/>
    <mergeCell ref="B41:G41"/>
    <mergeCell ref="B42:G47"/>
    <mergeCell ref="B24:D24"/>
    <mergeCell ref="E24:G24"/>
    <mergeCell ref="B27:G27"/>
    <mergeCell ref="B28:G32"/>
    <mergeCell ref="B35:G35"/>
    <mergeCell ref="B18:D18"/>
    <mergeCell ref="E18:G18"/>
    <mergeCell ref="B20:D20"/>
    <mergeCell ref="E20:G20"/>
    <mergeCell ref="B22:D22"/>
    <mergeCell ref="E22:G22"/>
    <mergeCell ref="B2:G2"/>
    <mergeCell ref="B3:G3"/>
    <mergeCell ref="B4:G4"/>
    <mergeCell ref="B7:C7"/>
    <mergeCell ref="B17:G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zoomScaleNormal="100" workbookViewId="0">
      <selection activeCell="N30" sqref="N30"/>
    </sheetView>
  </sheetViews>
  <sheetFormatPr baseColWidth="10" defaultColWidth="8.796875" defaultRowHeight="13.8"/>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3" customHeight="1">
      <c r="A2" s="1"/>
      <c r="B2" s="13" t="s">
        <v>65</v>
      </c>
      <c r="C2" s="13"/>
      <c r="D2" s="13"/>
      <c r="E2" s="13"/>
      <c r="F2" s="13"/>
      <c r="G2" s="13"/>
      <c r="H2" s="13"/>
      <c r="I2" s="13"/>
      <c r="J2" s="1"/>
      <c r="K2" s="1"/>
    </row>
    <row r="3" spans="1:11" ht="30.75" customHeight="1">
      <c r="A3" s="1"/>
      <c r="B3" s="14" t="s">
        <v>66</v>
      </c>
      <c r="C3" s="14"/>
      <c r="D3" s="14"/>
      <c r="E3" s="14"/>
      <c r="F3" s="14"/>
      <c r="G3" s="14"/>
      <c r="H3" s="14"/>
      <c r="I3" s="14"/>
      <c r="J3" s="1"/>
      <c r="K3" s="1"/>
    </row>
    <row r="4" spans="1:11" ht="6.75" customHeight="1">
      <c r="A4" s="1"/>
      <c r="B4" s="15"/>
      <c r="C4" s="15"/>
      <c r="D4" s="15"/>
      <c r="E4" s="15"/>
      <c r="F4" s="15"/>
      <c r="G4" s="15"/>
      <c r="H4" s="15"/>
      <c r="I4" s="15"/>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6" t="s">
        <v>67</v>
      </c>
      <c r="C7" s="16"/>
      <c r="D7" s="16"/>
      <c r="E7" s="1"/>
      <c r="F7" s="1"/>
      <c r="G7" s="1"/>
      <c r="H7" s="1"/>
      <c r="I7" s="1"/>
      <c r="J7" s="1"/>
      <c r="K7" s="1"/>
    </row>
    <row r="8" spans="1:11" ht="37.200000000000003" customHeight="1">
      <c r="A8" s="1"/>
      <c r="B8" s="4" t="s">
        <v>68</v>
      </c>
      <c r="C8" s="4" t="s">
        <v>50</v>
      </c>
      <c r="D8" s="4" t="s">
        <v>69</v>
      </c>
      <c r="E8" s="1"/>
      <c r="F8" s="1"/>
      <c r="G8" s="1"/>
      <c r="H8" s="1"/>
      <c r="I8" s="1"/>
      <c r="J8" s="1"/>
      <c r="K8" s="1"/>
    </row>
    <row r="9" spans="1:11">
      <c r="A9" s="1"/>
      <c r="B9" s="5" t="s">
        <v>70</v>
      </c>
      <c r="C9" s="6">
        <v>4250</v>
      </c>
      <c r="D9" s="8">
        <f>C9/$E$19</f>
        <v>0.54347826086956519</v>
      </c>
      <c r="E9" s="1"/>
      <c r="F9" s="1"/>
      <c r="G9" s="1"/>
      <c r="H9" s="1"/>
      <c r="I9" s="1"/>
      <c r="J9" s="1"/>
      <c r="K9" s="1"/>
    </row>
    <row r="10" spans="1:11">
      <c r="A10" s="1"/>
      <c r="B10" s="5" t="s">
        <v>71</v>
      </c>
      <c r="C10" s="6">
        <v>2100</v>
      </c>
      <c r="D10" s="8">
        <f t="shared" ref="D10:D11" si="0">C10/$E$19</f>
        <v>0.26854219948849106</v>
      </c>
      <c r="E10" s="1"/>
      <c r="F10" s="1"/>
      <c r="G10" s="1"/>
      <c r="H10" s="1"/>
      <c r="I10" s="1"/>
      <c r="J10" s="1"/>
      <c r="K10" s="1"/>
    </row>
    <row r="11" spans="1:11">
      <c r="A11" s="1"/>
      <c r="B11" s="5" t="s">
        <v>72</v>
      </c>
      <c r="C11" s="6">
        <v>960</v>
      </c>
      <c r="D11" s="8">
        <f t="shared" si="0"/>
        <v>0.12276214833759591</v>
      </c>
      <c r="E11" s="1"/>
      <c r="F11" s="1"/>
      <c r="G11" s="1"/>
      <c r="H11" s="1"/>
      <c r="I11" s="1"/>
      <c r="J11" s="1"/>
      <c r="K11" s="1"/>
    </row>
    <row r="12" spans="1:11">
      <c r="A12" s="1"/>
      <c r="B12" s="5" t="s">
        <v>73</v>
      </c>
      <c r="C12" s="6">
        <v>620</v>
      </c>
      <c r="D12" s="1"/>
      <c r="E12" s="1"/>
      <c r="F12" s="1"/>
      <c r="G12" s="1"/>
      <c r="H12" s="1"/>
      <c r="I12" s="1"/>
      <c r="J12" s="1"/>
      <c r="K12" s="1"/>
    </row>
    <row r="13" spans="1:11">
      <c r="A13" s="1"/>
      <c r="B13" s="5" t="s">
        <v>74</v>
      </c>
      <c r="C13" s="6">
        <v>110</v>
      </c>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16" t="s">
        <v>57</v>
      </c>
      <c r="C16" s="16"/>
      <c r="D16" s="16"/>
      <c r="E16" s="16"/>
      <c r="F16" s="16"/>
      <c r="G16" s="16"/>
      <c r="H16" s="1"/>
      <c r="I16" s="1"/>
      <c r="J16" s="1"/>
      <c r="K16" s="1"/>
    </row>
    <row r="17" spans="1:11" ht="33.299999999999997" customHeight="1">
      <c r="A17" s="1"/>
      <c r="B17" s="17" t="s">
        <v>75</v>
      </c>
      <c r="C17" s="17"/>
      <c r="D17" s="17"/>
      <c r="E17" s="18">
        <f>C12-C13</f>
        <v>510</v>
      </c>
      <c r="F17" s="19"/>
      <c r="G17" s="19"/>
      <c r="H17" s="1"/>
      <c r="I17" s="1"/>
      <c r="J17" s="1"/>
      <c r="K17" s="1"/>
    </row>
    <row r="18" spans="1:11">
      <c r="A18" s="1"/>
      <c r="B18" s="1"/>
      <c r="C18" s="1"/>
      <c r="D18" s="1"/>
      <c r="E18" s="1"/>
      <c r="F18" s="1"/>
      <c r="G18" s="1"/>
      <c r="H18" s="1"/>
      <c r="I18" s="1"/>
      <c r="J18" s="1"/>
      <c r="K18" s="1"/>
    </row>
    <row r="19" spans="1:11" ht="33.299999999999997" customHeight="1">
      <c r="A19" s="1"/>
      <c r="B19" s="17" t="s">
        <v>76</v>
      </c>
      <c r="C19" s="17"/>
      <c r="D19" s="17"/>
      <c r="E19" s="18">
        <f>C9+C10+C11+E17</f>
        <v>7820</v>
      </c>
      <c r="F19" s="19"/>
      <c r="G19" s="19"/>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6" t="s">
        <v>42</v>
      </c>
      <c r="C22" s="16"/>
      <c r="D22" s="16"/>
      <c r="E22" s="16"/>
      <c r="F22" s="16"/>
      <c r="G22" s="16"/>
      <c r="H22" s="1"/>
      <c r="I22" s="1"/>
      <c r="J22" s="1"/>
      <c r="K22" s="1"/>
    </row>
    <row r="23" spans="1:11">
      <c r="A23" s="1"/>
      <c r="B23" s="38" t="s">
        <v>136</v>
      </c>
      <c r="C23" s="38"/>
      <c r="D23" s="38"/>
      <c r="E23" s="38"/>
      <c r="F23" s="38"/>
      <c r="G23" s="38"/>
      <c r="H23" s="1"/>
      <c r="I23" s="1"/>
      <c r="J23" s="1"/>
      <c r="K23" s="1"/>
    </row>
    <row r="24" spans="1:11">
      <c r="A24" s="1"/>
      <c r="B24" s="38"/>
      <c r="C24" s="38"/>
      <c r="D24" s="38"/>
      <c r="E24" s="38"/>
      <c r="F24" s="38"/>
      <c r="G24" s="38"/>
      <c r="H24" s="1"/>
      <c r="I24" s="1"/>
      <c r="J24" s="1"/>
      <c r="K24" s="1"/>
    </row>
    <row r="25" spans="1:11">
      <c r="A25" s="1"/>
      <c r="B25" s="38"/>
      <c r="C25" s="38"/>
      <c r="D25" s="38"/>
      <c r="E25" s="38"/>
      <c r="F25" s="38"/>
      <c r="G25" s="38"/>
      <c r="H25" s="1"/>
      <c r="I25" s="1"/>
      <c r="J25" s="1"/>
      <c r="K25" s="1"/>
    </row>
    <row r="26" spans="1:11">
      <c r="A26" s="1"/>
      <c r="B26" s="38"/>
      <c r="C26" s="38"/>
      <c r="D26" s="38"/>
      <c r="E26" s="38"/>
      <c r="F26" s="38"/>
      <c r="G26" s="38"/>
      <c r="H26" s="1"/>
      <c r="I26" s="1"/>
      <c r="J26" s="1"/>
      <c r="K26" s="1"/>
    </row>
    <row r="27" spans="1:11" ht="40.200000000000003" customHeight="1">
      <c r="A27" s="1"/>
      <c r="B27" s="38"/>
      <c r="C27" s="38"/>
      <c r="D27" s="38"/>
      <c r="E27" s="38"/>
      <c r="F27" s="38"/>
      <c r="G27" s="38"/>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24" t="s">
        <v>62</v>
      </c>
      <c r="C30" s="24"/>
      <c r="D30" s="24"/>
      <c r="E30" s="24"/>
      <c r="F30" s="24"/>
      <c r="G30" s="24"/>
      <c r="H30" s="24"/>
      <c r="I30" s="24"/>
      <c r="J30" s="1"/>
      <c r="K30" s="1"/>
    </row>
    <row r="31" spans="1:11">
      <c r="A31" s="1"/>
      <c r="B31" s="20" t="s">
        <v>77</v>
      </c>
      <c r="C31" s="20"/>
      <c r="D31" s="20"/>
      <c r="E31" s="20"/>
      <c r="F31" s="20"/>
      <c r="G31" s="20"/>
      <c r="H31" s="20"/>
      <c r="I31" s="20"/>
      <c r="J31" s="1"/>
      <c r="K31" s="1"/>
    </row>
    <row r="32" spans="1:11">
      <c r="A32" s="1"/>
      <c r="B32" s="20"/>
      <c r="C32" s="20"/>
      <c r="D32" s="20"/>
      <c r="E32" s="20"/>
      <c r="F32" s="20"/>
      <c r="G32" s="20"/>
      <c r="H32" s="20"/>
      <c r="I32" s="20"/>
      <c r="J32" s="1"/>
      <c r="K32" s="1"/>
    </row>
    <row r="33" spans="1:11">
      <c r="A33" s="1"/>
      <c r="B33" s="20"/>
      <c r="C33" s="20"/>
      <c r="D33" s="20"/>
      <c r="E33" s="20"/>
      <c r="F33" s="20"/>
      <c r="G33" s="20"/>
      <c r="H33" s="20"/>
      <c r="I33" s="20"/>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37" t="s">
        <v>78</v>
      </c>
      <c r="C36" s="37"/>
      <c r="D36" s="37"/>
      <c r="E36" s="37"/>
      <c r="F36" s="37"/>
      <c r="G36" s="37"/>
      <c r="H36" s="37"/>
      <c r="I36" s="37"/>
      <c r="J36" s="1"/>
      <c r="K36" s="1"/>
    </row>
    <row r="37" spans="1:11" ht="31.95" customHeight="1">
      <c r="A37" s="1"/>
      <c r="B37" s="23" t="s">
        <v>137</v>
      </c>
      <c r="C37" s="23"/>
      <c r="D37" s="23"/>
      <c r="E37" s="23"/>
      <c r="F37" s="23"/>
      <c r="G37" s="23"/>
      <c r="H37" s="23"/>
      <c r="I37" s="23"/>
      <c r="J37" s="1"/>
      <c r="K37" s="1"/>
    </row>
    <row r="38" spans="1:11" ht="31.95" customHeight="1">
      <c r="A38" s="1"/>
      <c r="B38" s="23"/>
      <c r="C38" s="23"/>
      <c r="D38" s="23"/>
      <c r="E38" s="23"/>
      <c r="F38" s="23"/>
      <c r="G38" s="23"/>
      <c r="H38" s="23"/>
      <c r="I38" s="23"/>
      <c r="J38" s="1"/>
      <c r="K38" s="1"/>
    </row>
    <row r="39" spans="1:11" ht="31.95" customHeight="1">
      <c r="A39" s="1"/>
      <c r="B39" s="23"/>
      <c r="C39" s="23"/>
      <c r="D39" s="23"/>
      <c r="E39" s="23"/>
      <c r="F39" s="23"/>
      <c r="G39" s="23"/>
      <c r="H39" s="23"/>
      <c r="I39" s="23"/>
      <c r="J39" s="1"/>
      <c r="K39" s="1"/>
    </row>
    <row r="40" spans="1:11" ht="31.95" customHeight="1">
      <c r="A40" s="1"/>
      <c r="B40" s="23"/>
      <c r="C40" s="23"/>
      <c r="D40" s="23"/>
      <c r="E40" s="23"/>
      <c r="F40" s="23"/>
      <c r="G40" s="23"/>
      <c r="H40" s="23"/>
      <c r="I40" s="23"/>
      <c r="J40" s="1"/>
      <c r="K40" s="1"/>
    </row>
    <row r="41" spans="1:11" ht="31.95" customHeight="1">
      <c r="A41" s="1"/>
      <c r="B41" s="23"/>
      <c r="C41" s="23"/>
      <c r="D41" s="23"/>
      <c r="E41" s="23"/>
      <c r="F41" s="23"/>
      <c r="G41" s="23"/>
      <c r="H41" s="23"/>
      <c r="I41" s="23"/>
      <c r="J41" s="1"/>
      <c r="K41" s="1"/>
    </row>
    <row r="42" spans="1:11" ht="31.95" customHeight="1">
      <c r="A42" s="1"/>
      <c r="B42" s="23"/>
      <c r="C42" s="23"/>
      <c r="D42" s="23"/>
      <c r="E42" s="23"/>
      <c r="F42" s="23"/>
      <c r="G42" s="23"/>
      <c r="H42" s="23"/>
      <c r="I42" s="23"/>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3:G27"/>
    <mergeCell ref="B30:I30"/>
    <mergeCell ref="B31:I33"/>
    <mergeCell ref="B36:I36"/>
    <mergeCell ref="B37:I42"/>
    <mergeCell ref="B17:D17"/>
    <mergeCell ref="E17:G17"/>
    <mergeCell ref="B19:D19"/>
    <mergeCell ref="E19:G19"/>
    <mergeCell ref="B22:G22"/>
    <mergeCell ref="B2:I2"/>
    <mergeCell ref="B3:I3"/>
    <mergeCell ref="B4:I4"/>
    <mergeCell ref="B7:D7"/>
    <mergeCell ref="B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workbookViewId="0">
      <selection activeCell="M47" sqref="M47"/>
    </sheetView>
  </sheetViews>
  <sheetFormatPr baseColWidth="10" defaultColWidth="8.796875" defaultRowHeight="13.8"/>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13" t="s">
        <v>79</v>
      </c>
      <c r="C2" s="13"/>
      <c r="D2" s="13"/>
      <c r="E2" s="13"/>
      <c r="F2" s="13"/>
      <c r="G2" s="13"/>
      <c r="H2" s="13"/>
      <c r="I2" s="13"/>
      <c r="J2" s="13"/>
      <c r="K2" s="1"/>
    </row>
    <row r="3" spans="1:11" ht="30.75" customHeight="1">
      <c r="A3" s="1"/>
      <c r="B3" s="14" t="s">
        <v>80</v>
      </c>
      <c r="C3" s="14"/>
      <c r="D3" s="14"/>
      <c r="E3" s="14"/>
      <c r="F3" s="14"/>
      <c r="G3" s="14"/>
      <c r="H3" s="14"/>
      <c r="I3" s="14"/>
      <c r="J3" s="14"/>
      <c r="K3" s="1"/>
    </row>
    <row r="4" spans="1:11" ht="6.75" customHeight="1">
      <c r="A4" s="1"/>
      <c r="B4" s="15"/>
      <c r="C4" s="15"/>
      <c r="D4" s="15"/>
      <c r="E4" s="15"/>
      <c r="F4" s="15"/>
      <c r="G4" s="15"/>
      <c r="H4" s="15"/>
      <c r="I4" s="15"/>
      <c r="J4" s="15"/>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6" t="s">
        <v>81</v>
      </c>
      <c r="C7" s="16"/>
      <c r="D7" s="16"/>
      <c r="E7" s="16"/>
      <c r="F7" s="16"/>
      <c r="G7" s="16"/>
      <c r="H7" s="16"/>
      <c r="I7" s="16"/>
      <c r="J7" s="16"/>
      <c r="K7" s="1"/>
    </row>
    <row r="8" spans="1:11">
      <c r="A8" s="1"/>
      <c r="B8" s="39" t="s">
        <v>82</v>
      </c>
      <c r="C8" s="39"/>
      <c r="D8" s="39"/>
      <c r="E8" s="39"/>
      <c r="F8" s="40" t="s">
        <v>83</v>
      </c>
      <c r="G8" s="40"/>
      <c r="H8" s="40"/>
      <c r="I8" s="40"/>
      <c r="J8" s="40"/>
      <c r="K8" s="1"/>
    </row>
    <row r="9" spans="1:11">
      <c r="A9" s="1"/>
      <c r="B9" s="39"/>
      <c r="C9" s="39"/>
      <c r="D9" s="39"/>
      <c r="E9" s="39"/>
      <c r="F9" s="40"/>
      <c r="G9" s="40"/>
      <c r="H9" s="40"/>
      <c r="I9" s="40"/>
      <c r="J9" s="40"/>
      <c r="K9" s="1"/>
    </row>
    <row r="10" spans="1:11">
      <c r="A10" s="1"/>
      <c r="B10" s="39"/>
      <c r="C10" s="39"/>
      <c r="D10" s="39"/>
      <c r="E10" s="39"/>
      <c r="F10" s="40"/>
      <c r="G10" s="40"/>
      <c r="H10" s="40"/>
      <c r="I10" s="40"/>
      <c r="J10" s="40"/>
      <c r="K10" s="1"/>
    </row>
    <row r="11" spans="1:11">
      <c r="A11" s="1"/>
      <c r="B11" s="1"/>
      <c r="C11" s="1"/>
      <c r="D11" s="1"/>
      <c r="E11" s="1"/>
      <c r="F11" s="1"/>
      <c r="G11" s="1"/>
      <c r="H11" s="1">
        <v>9000</v>
      </c>
      <c r="I11" s="1"/>
      <c r="J11" s="1"/>
      <c r="K11" s="1"/>
    </row>
    <row r="12" spans="1:11">
      <c r="A12" s="1"/>
      <c r="B12" s="1"/>
      <c r="C12" s="1"/>
      <c r="D12" s="1"/>
      <c r="E12" s="1"/>
      <c r="F12" s="1"/>
      <c r="G12" s="1"/>
      <c r="H12" s="1"/>
      <c r="I12" s="1"/>
      <c r="J12" s="1"/>
      <c r="K12" s="1"/>
    </row>
    <row r="13" spans="1:11" ht="30.75" customHeight="1">
      <c r="A13" s="1"/>
      <c r="B13" s="16" t="s">
        <v>84</v>
      </c>
      <c r="C13" s="16"/>
      <c r="D13" s="1"/>
      <c r="E13" s="16" t="s">
        <v>85</v>
      </c>
      <c r="F13" s="16"/>
      <c r="G13" s="1"/>
      <c r="H13" s="1"/>
      <c r="I13" s="1"/>
      <c r="J13" s="1"/>
      <c r="K13" s="1"/>
    </row>
    <row r="14" spans="1:11" ht="37.200000000000003" customHeight="1">
      <c r="A14" s="1"/>
      <c r="B14" s="4" t="s">
        <v>49</v>
      </c>
      <c r="C14" s="4" t="s">
        <v>50</v>
      </c>
      <c r="D14" s="1"/>
      <c r="E14" s="4" t="s">
        <v>49</v>
      </c>
      <c r="F14" s="4" t="s">
        <v>50</v>
      </c>
      <c r="G14" s="1"/>
      <c r="H14" s="1"/>
      <c r="I14" s="1"/>
      <c r="J14" s="1"/>
      <c r="K14" s="1"/>
    </row>
    <row r="15" spans="1:11">
      <c r="A15" s="1"/>
      <c r="B15" s="5" t="s">
        <v>86</v>
      </c>
      <c r="C15" s="6">
        <v>5200</v>
      </c>
      <c r="D15" s="1"/>
      <c r="E15" s="5" t="s">
        <v>70</v>
      </c>
      <c r="F15" s="6">
        <v>4300</v>
      </c>
      <c r="G15" s="1"/>
      <c r="H15" s="1"/>
      <c r="I15" s="1"/>
      <c r="J15" s="1"/>
      <c r="K15" s="1"/>
    </row>
    <row r="16" spans="1:11">
      <c r="A16" s="1"/>
      <c r="B16" s="5" t="s">
        <v>87</v>
      </c>
      <c r="C16" s="6">
        <v>1800</v>
      </c>
      <c r="D16" s="1"/>
      <c r="E16" s="5" t="s">
        <v>71</v>
      </c>
      <c r="F16" s="7">
        <f>H11-F15-F17-F18</f>
        <v>3100</v>
      </c>
      <c r="G16" s="1"/>
      <c r="H16" s="1"/>
      <c r="I16" s="1"/>
      <c r="J16" s="1"/>
      <c r="K16" s="1"/>
    </row>
    <row r="17" spans="1:11">
      <c r="A17" s="1"/>
      <c r="B17" s="5" t="s">
        <v>88</v>
      </c>
      <c r="C17" s="6">
        <v>1500</v>
      </c>
      <c r="D17" s="1"/>
      <c r="E17" s="5" t="s">
        <v>89</v>
      </c>
      <c r="F17" s="6">
        <v>1100</v>
      </c>
      <c r="G17" s="1"/>
      <c r="H17" s="1"/>
      <c r="I17" s="1"/>
      <c r="J17" s="1"/>
      <c r="K17" s="1"/>
    </row>
    <row r="18" spans="1:11">
      <c r="A18" s="1"/>
      <c r="B18" s="5" t="s">
        <v>90</v>
      </c>
      <c r="C18" s="6">
        <v>1100</v>
      </c>
      <c r="D18" s="1"/>
      <c r="E18" s="5" t="s">
        <v>91</v>
      </c>
      <c r="F18" s="6">
        <v>500</v>
      </c>
      <c r="G18" s="1"/>
      <c r="H18" s="1"/>
      <c r="I18" s="1"/>
      <c r="J18" s="1"/>
      <c r="K18" s="1"/>
    </row>
    <row r="19" spans="1:11">
      <c r="A19" s="1"/>
      <c r="B19" s="5" t="s">
        <v>92</v>
      </c>
      <c r="C19" s="7">
        <f>SUM(C15:C18)-H11</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6" t="s">
        <v>93</v>
      </c>
      <c r="C22" s="16"/>
      <c r="D22" s="16"/>
      <c r="E22" s="16"/>
      <c r="F22" s="16"/>
      <c r="G22" s="16"/>
      <c r="H22" s="16"/>
      <c r="I22" s="16"/>
      <c r="J22" s="16"/>
      <c r="K22" s="1"/>
    </row>
    <row r="23" spans="1:11">
      <c r="A23" s="1"/>
      <c r="B23" s="17" t="s">
        <v>94</v>
      </c>
      <c r="C23" s="17"/>
      <c r="D23" s="17"/>
      <c r="E23" s="17" t="s">
        <v>95</v>
      </c>
      <c r="F23" s="17"/>
      <c r="G23" s="17"/>
      <c r="H23" s="17" t="s">
        <v>96</v>
      </c>
      <c r="I23" s="17"/>
      <c r="J23" s="17"/>
      <c r="K23" s="1"/>
    </row>
    <row r="24" spans="1:11">
      <c r="A24" s="1"/>
      <c r="B24" s="18">
        <f>C19</f>
        <v>600</v>
      </c>
      <c r="C24" s="19"/>
      <c r="D24" s="19"/>
      <c r="E24" s="18">
        <f>F16</f>
        <v>3100</v>
      </c>
      <c r="F24" s="19"/>
      <c r="G24" s="19"/>
      <c r="H24" s="35" t="s">
        <v>138</v>
      </c>
      <c r="I24" s="35"/>
      <c r="J24" s="35"/>
      <c r="K24" s="1"/>
    </row>
    <row r="25" spans="1:11">
      <c r="A25" s="1"/>
      <c r="B25" s="19"/>
      <c r="C25" s="19"/>
      <c r="D25" s="19"/>
      <c r="E25" s="19"/>
      <c r="F25" s="19"/>
      <c r="G25" s="19"/>
      <c r="H25" s="35"/>
      <c r="I25" s="35"/>
      <c r="J25" s="35"/>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6" t="s">
        <v>42</v>
      </c>
      <c r="C28" s="16"/>
      <c r="D28" s="16"/>
      <c r="E28" s="16"/>
      <c r="F28" s="16"/>
      <c r="G28" s="16"/>
      <c r="H28" s="16"/>
      <c r="I28" s="16"/>
      <c r="J28" s="16"/>
      <c r="K28" s="1"/>
    </row>
    <row r="29" spans="1:11">
      <c r="A29" s="1"/>
      <c r="B29" s="38" t="s">
        <v>139</v>
      </c>
      <c r="C29" s="38"/>
      <c r="D29" s="38"/>
      <c r="E29" s="38"/>
      <c r="F29" s="38"/>
      <c r="G29" s="38"/>
      <c r="H29" s="38"/>
      <c r="I29" s="38"/>
      <c r="J29" s="38"/>
      <c r="K29" s="1"/>
    </row>
    <row r="30" spans="1:11">
      <c r="A30" s="1"/>
      <c r="B30" s="38"/>
      <c r="C30" s="38"/>
      <c r="D30" s="38"/>
      <c r="E30" s="38"/>
      <c r="F30" s="38"/>
      <c r="G30" s="38"/>
      <c r="H30" s="38"/>
      <c r="I30" s="38"/>
      <c r="J30" s="38"/>
      <c r="K30" s="1"/>
    </row>
    <row r="31" spans="1:11">
      <c r="A31" s="1"/>
      <c r="B31" s="38"/>
      <c r="C31" s="38"/>
      <c r="D31" s="38"/>
      <c r="E31" s="38"/>
      <c r="F31" s="38"/>
      <c r="G31" s="38"/>
      <c r="H31" s="38"/>
      <c r="I31" s="38"/>
      <c r="J31" s="38"/>
      <c r="K31" s="1"/>
    </row>
    <row r="32" spans="1:11">
      <c r="A32" s="1"/>
      <c r="B32" s="38"/>
      <c r="C32" s="38"/>
      <c r="D32" s="38"/>
      <c r="E32" s="38"/>
      <c r="F32" s="38"/>
      <c r="G32" s="38"/>
      <c r="H32" s="38"/>
      <c r="I32" s="38"/>
      <c r="J32" s="38"/>
      <c r="K32" s="1"/>
    </row>
    <row r="33" spans="1:11" ht="145.80000000000001" customHeight="1">
      <c r="A33" s="1"/>
      <c r="B33" s="38"/>
      <c r="C33" s="38"/>
      <c r="D33" s="38"/>
      <c r="E33" s="38"/>
      <c r="F33" s="38"/>
      <c r="G33" s="38"/>
      <c r="H33" s="38"/>
      <c r="I33" s="38"/>
      <c r="J33" s="38"/>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24" t="s">
        <v>97</v>
      </c>
      <c r="C36" s="24"/>
      <c r="D36" s="24"/>
      <c r="E36" s="24"/>
      <c r="F36" s="24"/>
      <c r="G36" s="24"/>
      <c r="H36" s="24"/>
      <c r="I36" s="24"/>
      <c r="J36" s="24"/>
      <c r="K36" s="1"/>
    </row>
    <row r="37" spans="1:11">
      <c r="A37" s="1"/>
      <c r="B37" s="20" t="s">
        <v>98</v>
      </c>
      <c r="C37" s="20"/>
      <c r="D37" s="20"/>
      <c r="E37" s="20"/>
      <c r="F37" s="20"/>
      <c r="G37" s="20"/>
      <c r="H37" s="20"/>
      <c r="I37" s="20"/>
      <c r="J37" s="20"/>
      <c r="K37" s="1"/>
    </row>
    <row r="38" spans="1:11">
      <c r="A38" s="1"/>
      <c r="B38" s="20"/>
      <c r="C38" s="20"/>
      <c r="D38" s="20"/>
      <c r="E38" s="20"/>
      <c r="F38" s="20"/>
      <c r="G38" s="20"/>
      <c r="H38" s="20"/>
      <c r="I38" s="20"/>
      <c r="J38" s="20"/>
      <c r="K38" s="1"/>
    </row>
    <row r="39" spans="1:11">
      <c r="A39" s="1"/>
      <c r="B39" s="20"/>
      <c r="C39" s="20"/>
      <c r="D39" s="20"/>
      <c r="E39" s="20"/>
      <c r="F39" s="20"/>
      <c r="G39" s="20"/>
      <c r="H39" s="20"/>
      <c r="I39" s="20"/>
      <c r="J39" s="20"/>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37" t="s">
        <v>99</v>
      </c>
      <c r="C42" s="37"/>
      <c r="D42" s="37"/>
      <c r="E42" s="37"/>
      <c r="F42" s="37"/>
      <c r="G42" s="37"/>
      <c r="H42" s="37"/>
      <c r="I42" s="37"/>
      <c r="J42" s="37"/>
      <c r="K42" s="1"/>
    </row>
    <row r="43" spans="1:11" ht="31.95" customHeight="1">
      <c r="A43" s="1"/>
      <c r="B43" s="23" t="s">
        <v>140</v>
      </c>
      <c r="C43" s="23"/>
      <c r="D43" s="23"/>
      <c r="E43" s="23"/>
      <c r="F43" s="23"/>
      <c r="G43" s="23"/>
      <c r="H43" s="23"/>
      <c r="I43" s="23"/>
      <c r="J43" s="23"/>
      <c r="K43" s="1"/>
    </row>
    <row r="44" spans="1:11" ht="31.95" customHeight="1">
      <c r="A44" s="1"/>
      <c r="B44" s="23"/>
      <c r="C44" s="23"/>
      <c r="D44" s="23"/>
      <c r="E44" s="23"/>
      <c r="F44" s="23"/>
      <c r="G44" s="23"/>
      <c r="H44" s="23"/>
      <c r="I44" s="23"/>
      <c r="J44" s="23"/>
      <c r="K44" s="1"/>
    </row>
    <row r="45" spans="1:11" ht="31.95" customHeight="1">
      <c r="A45" s="1"/>
      <c r="B45" s="23"/>
      <c r="C45" s="23"/>
      <c r="D45" s="23"/>
      <c r="E45" s="23"/>
      <c r="F45" s="23"/>
      <c r="G45" s="23"/>
      <c r="H45" s="23"/>
      <c r="I45" s="23"/>
      <c r="J45" s="23"/>
      <c r="K45" s="1"/>
    </row>
    <row r="46" spans="1:11" ht="31.95" customHeight="1">
      <c r="A46" s="1"/>
      <c r="B46" s="23"/>
      <c r="C46" s="23"/>
      <c r="D46" s="23"/>
      <c r="E46" s="23"/>
      <c r="F46" s="23"/>
      <c r="G46" s="23"/>
      <c r="H46" s="23"/>
      <c r="I46" s="23"/>
      <c r="J46" s="23"/>
      <c r="K46" s="1"/>
    </row>
    <row r="47" spans="1:11" ht="31.95" customHeight="1">
      <c r="A47" s="1"/>
      <c r="B47" s="23"/>
      <c r="C47" s="23"/>
      <c r="D47" s="23"/>
      <c r="E47" s="23"/>
      <c r="F47" s="23"/>
      <c r="G47" s="23"/>
      <c r="H47" s="23"/>
      <c r="I47" s="23"/>
      <c r="J47" s="23"/>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37" t="s">
        <v>100</v>
      </c>
      <c r="C50" s="37"/>
      <c r="D50" s="37"/>
      <c r="E50" s="37"/>
      <c r="F50" s="37"/>
      <c r="G50" s="37"/>
      <c r="H50" s="37"/>
      <c r="I50" s="37"/>
      <c r="J50" s="37"/>
      <c r="K50" s="1"/>
    </row>
    <row r="51" spans="1:11" ht="31.95" customHeight="1">
      <c r="A51" s="1"/>
      <c r="B51" s="23" t="s">
        <v>141</v>
      </c>
      <c r="C51" s="23"/>
      <c r="D51" s="23"/>
      <c r="E51" s="23"/>
      <c r="F51" s="23"/>
      <c r="G51" s="23"/>
      <c r="H51" s="23"/>
      <c r="I51" s="23"/>
      <c r="J51" s="23"/>
      <c r="K51" s="1"/>
    </row>
    <row r="52" spans="1:11" ht="31.95" customHeight="1">
      <c r="A52" s="1"/>
      <c r="B52" s="23"/>
      <c r="C52" s="23"/>
      <c r="D52" s="23"/>
      <c r="E52" s="23"/>
      <c r="F52" s="23"/>
      <c r="G52" s="23"/>
      <c r="H52" s="23"/>
      <c r="I52" s="23"/>
      <c r="J52" s="23"/>
      <c r="K52" s="1"/>
    </row>
    <row r="53" spans="1:11" ht="31.95" customHeight="1">
      <c r="A53" s="1"/>
      <c r="B53" s="23"/>
      <c r="C53" s="23"/>
      <c r="D53" s="23"/>
      <c r="E53" s="23"/>
      <c r="F53" s="23"/>
      <c r="G53" s="23"/>
      <c r="H53" s="23"/>
      <c r="I53" s="23"/>
      <c r="J53" s="23"/>
      <c r="K53" s="1"/>
    </row>
    <row r="54" spans="1:11" ht="31.95" customHeight="1">
      <c r="A54" s="1"/>
      <c r="B54" s="23"/>
      <c r="C54" s="23"/>
      <c r="D54" s="23"/>
      <c r="E54" s="23"/>
      <c r="F54" s="23"/>
      <c r="G54" s="23"/>
      <c r="H54" s="23"/>
      <c r="I54" s="23"/>
      <c r="J54" s="23"/>
      <c r="K54" s="1"/>
    </row>
    <row r="55" spans="1:11" ht="31.95" customHeight="1">
      <c r="A55" s="1"/>
      <c r="B55" s="23"/>
      <c r="C55" s="23"/>
      <c r="D55" s="23"/>
      <c r="E55" s="23"/>
      <c r="F55" s="23"/>
      <c r="G55" s="23"/>
      <c r="H55" s="23"/>
      <c r="I55" s="23"/>
      <c r="J55" s="23"/>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51:J55"/>
    <mergeCell ref="B36:J36"/>
    <mergeCell ref="B37:J39"/>
    <mergeCell ref="B42:J42"/>
    <mergeCell ref="B43:J47"/>
    <mergeCell ref="B50:J50"/>
    <mergeCell ref="B24:D25"/>
    <mergeCell ref="E24:G25"/>
    <mergeCell ref="H24:J25"/>
    <mergeCell ref="B28:J28"/>
    <mergeCell ref="B29:J33"/>
    <mergeCell ref="B13:C13"/>
    <mergeCell ref="E13:F13"/>
    <mergeCell ref="B22:J22"/>
    <mergeCell ref="B23:D23"/>
    <mergeCell ref="E23:G23"/>
    <mergeCell ref="H23:J23"/>
    <mergeCell ref="B2:J2"/>
    <mergeCell ref="B3:J3"/>
    <mergeCell ref="B4:J4"/>
    <mergeCell ref="B7:J7"/>
    <mergeCell ref="B8:E10"/>
    <mergeCell ref="F8:J10"/>
  </mergeCell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abSelected="1" topLeftCell="A60" zoomScale="98" zoomScaleNormal="98" workbookViewId="0">
      <selection activeCell="L61" sqref="L61"/>
    </sheetView>
  </sheetViews>
  <sheetFormatPr baseColWidth="10" defaultColWidth="8.796875" defaultRowHeight="13.8"/>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13" t="s">
        <v>101</v>
      </c>
      <c r="C2" s="13"/>
      <c r="D2" s="13"/>
      <c r="E2" s="13"/>
      <c r="F2" s="13"/>
      <c r="G2" s="13"/>
      <c r="H2" s="13"/>
      <c r="I2" s="13"/>
      <c r="J2" s="13"/>
      <c r="K2" s="1"/>
    </row>
    <row r="3" spans="1:11" ht="30.75" customHeight="1">
      <c r="A3" s="1"/>
      <c r="B3" s="14" t="s">
        <v>102</v>
      </c>
      <c r="C3" s="14"/>
      <c r="D3" s="14"/>
      <c r="E3" s="14"/>
      <c r="F3" s="14"/>
      <c r="G3" s="14"/>
      <c r="H3" s="14"/>
      <c r="I3" s="14"/>
      <c r="J3" s="14"/>
      <c r="K3" s="1"/>
    </row>
    <row r="4" spans="1:11" ht="6.75" customHeight="1">
      <c r="A4" s="1"/>
      <c r="B4" s="15"/>
      <c r="C4" s="15"/>
      <c r="D4" s="15"/>
      <c r="E4" s="15"/>
      <c r="F4" s="15"/>
      <c r="G4" s="15"/>
      <c r="H4" s="15"/>
      <c r="I4" s="15"/>
      <c r="J4" s="15"/>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6" t="s">
        <v>103</v>
      </c>
      <c r="C7" s="16"/>
      <c r="D7" s="16"/>
      <c r="E7" s="16"/>
      <c r="F7" s="16"/>
      <c r="G7" s="16"/>
      <c r="H7" s="16"/>
      <c r="I7" s="16"/>
      <c r="J7" s="16"/>
      <c r="K7" s="1"/>
    </row>
    <row r="8" spans="1:11" ht="46.8" customHeight="1">
      <c r="A8" s="1"/>
      <c r="B8" s="10" t="s">
        <v>104</v>
      </c>
      <c r="C8" s="12" t="s">
        <v>142</v>
      </c>
      <c r="D8" s="12"/>
      <c r="E8" s="12"/>
      <c r="F8" s="10" t="s">
        <v>105</v>
      </c>
      <c r="G8" s="47"/>
      <c r="H8" s="47">
        <v>878387.4</v>
      </c>
      <c r="I8" s="47"/>
      <c r="J8" s="47"/>
      <c r="K8" s="1"/>
    </row>
    <row r="9" spans="1:11">
      <c r="A9" s="1"/>
      <c r="B9" s="1"/>
      <c r="C9" s="1"/>
      <c r="D9" s="1"/>
      <c r="E9" s="1"/>
      <c r="F9" s="1"/>
      <c r="G9" s="1"/>
      <c r="H9" s="1"/>
      <c r="I9" s="1"/>
      <c r="J9" s="1"/>
      <c r="K9" s="1"/>
    </row>
    <row r="10" spans="1:11" ht="26.4">
      <c r="A10" s="1"/>
      <c r="B10" s="10" t="s">
        <v>106</v>
      </c>
      <c r="C10" s="44">
        <v>46262</v>
      </c>
      <c r="D10" s="3"/>
      <c r="E10" s="3"/>
      <c r="F10" s="10" t="s">
        <v>107</v>
      </c>
      <c r="G10" s="45" t="s">
        <v>143</v>
      </c>
      <c r="H10" s="12"/>
      <c r="I10" s="12"/>
      <c r="J10" s="12"/>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6" t="s">
        <v>108</v>
      </c>
      <c r="C13" s="16"/>
      <c r="D13" s="16"/>
      <c r="E13" s="16"/>
      <c r="F13" s="16"/>
      <c r="G13" s="16"/>
      <c r="H13" s="16"/>
      <c r="I13" s="16"/>
      <c r="J13" s="16"/>
      <c r="K13" s="1"/>
    </row>
    <row r="14" spans="1:11" ht="37.200000000000003" customHeight="1">
      <c r="A14" s="1"/>
      <c r="B14" s="4" t="s">
        <v>26</v>
      </c>
      <c r="C14" s="4" t="s">
        <v>109</v>
      </c>
      <c r="D14" s="4" t="s">
        <v>110</v>
      </c>
      <c r="E14" s="4" t="s">
        <v>111</v>
      </c>
      <c r="F14" s="4" t="s">
        <v>112</v>
      </c>
      <c r="G14" s="1"/>
      <c r="H14" s="1"/>
      <c r="I14" s="1"/>
      <c r="J14" s="1"/>
      <c r="K14" s="1"/>
    </row>
    <row r="15" spans="1:11">
      <c r="A15" s="1"/>
      <c r="B15" s="5" t="s">
        <v>113</v>
      </c>
      <c r="C15" s="46">
        <v>78597.5</v>
      </c>
      <c r="D15" s="46">
        <v>84835.199999999997</v>
      </c>
      <c r="E15" s="48">
        <f>D15/C15-1</f>
        <v>7.9362575145519809E-2</v>
      </c>
      <c r="F15" s="48">
        <f>D15/$H$8</f>
        <v>9.6580620350428512E-2</v>
      </c>
      <c r="G15" s="1"/>
      <c r="H15" s="1"/>
      <c r="I15" s="1"/>
      <c r="J15" s="1"/>
      <c r="K15" s="1"/>
    </row>
    <row r="16" spans="1:11">
      <c r="A16" s="1"/>
      <c r="B16" s="5" t="s">
        <v>32</v>
      </c>
      <c r="C16" s="46">
        <v>114464.1</v>
      </c>
      <c r="D16" s="46">
        <v>118927</v>
      </c>
      <c r="E16" s="48">
        <f t="shared" ref="E16:E19" si="0">D16/C16-1</f>
        <v>3.8989517237282278E-2</v>
      </c>
      <c r="F16" s="48">
        <f t="shared" ref="F16:F19" si="1">D16/$H$8</f>
        <v>0.13539242480026467</v>
      </c>
      <c r="G16" s="1"/>
      <c r="H16" s="1"/>
      <c r="I16" s="1"/>
      <c r="J16" s="1"/>
      <c r="K16" s="1"/>
    </row>
    <row r="17" spans="1:11">
      <c r="A17" s="1"/>
      <c r="B17" s="5" t="s">
        <v>33</v>
      </c>
      <c r="C17" s="46">
        <v>45286.5</v>
      </c>
      <c r="D17" s="46">
        <v>47780.2</v>
      </c>
      <c r="E17" s="48">
        <f t="shared" si="0"/>
        <v>5.5064975213363843E-2</v>
      </c>
      <c r="F17" s="48">
        <f t="shared" si="1"/>
        <v>5.4395361317796674E-2</v>
      </c>
      <c r="G17" s="1"/>
      <c r="H17" s="1"/>
      <c r="I17" s="1"/>
      <c r="J17" s="1"/>
      <c r="K17" s="1"/>
    </row>
    <row r="18" spans="1:11">
      <c r="A18" s="1"/>
      <c r="B18" s="5" t="s">
        <v>114</v>
      </c>
      <c r="C18" s="46">
        <v>169370.4</v>
      </c>
      <c r="D18" s="46">
        <v>186914.9</v>
      </c>
      <c r="E18" s="48">
        <f t="shared" si="0"/>
        <v>0.10358657711146702</v>
      </c>
      <c r="F18" s="48">
        <f t="shared" si="1"/>
        <v>0.21279323906513228</v>
      </c>
      <c r="G18" s="1"/>
      <c r="H18" s="1"/>
      <c r="I18" s="1"/>
      <c r="J18" s="1"/>
      <c r="K18" s="1"/>
    </row>
    <row r="19" spans="1:11" ht="26.4">
      <c r="A19" s="1"/>
      <c r="B19" s="5" t="s">
        <v>146</v>
      </c>
      <c r="C19" s="46">
        <v>25039.599999999999</v>
      </c>
      <c r="D19" s="46">
        <v>29149.4</v>
      </c>
      <c r="E19" s="48">
        <f t="shared" si="0"/>
        <v>0.16413201488841689</v>
      </c>
      <c r="F19" s="48">
        <f t="shared" si="1"/>
        <v>3.3185129932419344E-2</v>
      </c>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4" t="s">
        <v>115</v>
      </c>
      <c r="C22" s="24"/>
      <c r="D22" s="24"/>
      <c r="E22" s="24"/>
      <c r="F22" s="24"/>
      <c r="G22" s="24"/>
      <c r="H22" s="24"/>
      <c r="I22" s="24"/>
      <c r="J22" s="24"/>
      <c r="K22" s="1"/>
    </row>
    <row r="23" spans="1:11">
      <c r="A23" s="1"/>
      <c r="B23" s="20" t="s">
        <v>116</v>
      </c>
      <c r="C23" s="20"/>
      <c r="D23" s="20"/>
      <c r="E23" s="20"/>
      <c r="F23" s="20"/>
      <c r="G23" s="20"/>
      <c r="H23" s="20"/>
      <c r="I23" s="20"/>
      <c r="J23" s="20"/>
      <c r="K23" s="1"/>
    </row>
    <row r="24" spans="1:11">
      <c r="A24" s="1"/>
      <c r="B24" s="20"/>
      <c r="C24" s="20"/>
      <c r="D24" s="20"/>
      <c r="E24" s="20"/>
      <c r="F24" s="20"/>
      <c r="G24" s="20"/>
      <c r="H24" s="20"/>
      <c r="I24" s="20"/>
      <c r="J24" s="20"/>
      <c r="K24" s="1"/>
    </row>
    <row r="25" spans="1:11">
      <c r="A25" s="1"/>
      <c r="B25" s="20"/>
      <c r="C25" s="20"/>
      <c r="D25" s="20"/>
      <c r="E25" s="20"/>
      <c r="F25" s="20"/>
      <c r="G25" s="20"/>
      <c r="H25" s="20"/>
      <c r="I25" s="20"/>
      <c r="J25" s="20"/>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6" t="s">
        <v>117</v>
      </c>
      <c r="C28" s="16"/>
      <c r="D28" s="16"/>
      <c r="E28" s="16"/>
      <c r="F28" s="16"/>
      <c r="G28" s="16"/>
      <c r="H28" s="16"/>
      <c r="I28" s="16"/>
      <c r="J28" s="16"/>
      <c r="K28" s="1"/>
    </row>
    <row r="29" spans="1:11">
      <c r="A29" s="1"/>
      <c r="B29" s="17" t="s">
        <v>118</v>
      </c>
      <c r="C29" s="17"/>
      <c r="D29" s="17"/>
      <c r="E29" s="17"/>
      <c r="F29" s="41" t="s">
        <v>144</v>
      </c>
      <c r="G29" s="41"/>
      <c r="H29" s="41"/>
      <c r="I29" s="41"/>
      <c r="J29" s="41"/>
      <c r="K29" s="1"/>
    </row>
    <row r="30" spans="1:11">
      <c r="A30" s="1"/>
      <c r="B30" s="1"/>
      <c r="C30" s="1"/>
      <c r="D30" s="1"/>
      <c r="E30" s="1"/>
      <c r="F30" s="1"/>
      <c r="G30" s="1"/>
      <c r="H30" s="1"/>
      <c r="I30" s="1"/>
      <c r="J30" s="1"/>
      <c r="K30" s="1"/>
    </row>
    <row r="31" spans="1:11">
      <c r="A31" s="1"/>
      <c r="B31" s="17" t="s">
        <v>119</v>
      </c>
      <c r="C31" s="17"/>
      <c r="D31" s="17"/>
      <c r="E31" s="17"/>
      <c r="F31" s="41" t="s">
        <v>145</v>
      </c>
      <c r="G31" s="41"/>
      <c r="H31" s="41"/>
      <c r="I31" s="41"/>
      <c r="J31" s="4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37" t="s">
        <v>120</v>
      </c>
      <c r="C52" s="37"/>
      <c r="D52" s="37"/>
      <c r="E52" s="37"/>
      <c r="F52" s="37"/>
      <c r="G52" s="37"/>
      <c r="H52" s="37"/>
      <c r="I52" s="37"/>
      <c r="J52" s="37"/>
      <c r="K52" s="1"/>
    </row>
    <row r="53" spans="1:11" ht="31.95" customHeight="1">
      <c r="A53" s="1"/>
      <c r="B53" s="23" t="s">
        <v>147</v>
      </c>
      <c r="C53" s="23"/>
      <c r="D53" s="23"/>
      <c r="E53" s="23"/>
      <c r="F53" s="23"/>
      <c r="G53" s="23"/>
      <c r="H53" s="23"/>
      <c r="I53" s="23"/>
      <c r="J53" s="23"/>
      <c r="K53" s="1"/>
    </row>
    <row r="54" spans="1:11" ht="31.95" customHeight="1">
      <c r="A54" s="1"/>
      <c r="B54" s="23"/>
      <c r="C54" s="23"/>
      <c r="D54" s="23"/>
      <c r="E54" s="23"/>
      <c r="F54" s="23"/>
      <c r="G54" s="23"/>
      <c r="H54" s="23"/>
      <c r="I54" s="23"/>
      <c r="J54" s="23"/>
      <c r="K54" s="1"/>
    </row>
    <row r="55" spans="1:11" ht="31.95" customHeight="1">
      <c r="A55" s="1"/>
      <c r="B55" s="23"/>
      <c r="C55" s="23"/>
      <c r="D55" s="23"/>
      <c r="E55" s="23"/>
      <c r="F55" s="23"/>
      <c r="G55" s="23"/>
      <c r="H55" s="23"/>
      <c r="I55" s="23"/>
      <c r="J55" s="23"/>
      <c r="K55" s="1"/>
    </row>
    <row r="56" spans="1:11" ht="31.95" customHeight="1">
      <c r="A56" s="1"/>
      <c r="B56" s="23"/>
      <c r="C56" s="23"/>
      <c r="D56" s="23"/>
      <c r="E56" s="23"/>
      <c r="F56" s="23"/>
      <c r="G56" s="23"/>
      <c r="H56" s="23"/>
      <c r="I56" s="23"/>
      <c r="J56" s="23"/>
      <c r="K56" s="1"/>
    </row>
    <row r="57" spans="1:11">
      <c r="A57" s="1"/>
      <c r="B57" s="1"/>
      <c r="C57" s="1"/>
      <c r="D57" s="1"/>
      <c r="E57" s="1"/>
      <c r="F57" s="1"/>
      <c r="G57" s="1"/>
      <c r="H57" s="1"/>
      <c r="I57" s="1"/>
      <c r="J57" s="1"/>
      <c r="K57" s="1"/>
    </row>
    <row r="58" spans="1:11" ht="41.25" customHeight="1">
      <c r="A58" s="1"/>
      <c r="B58" s="37" t="s">
        <v>121</v>
      </c>
      <c r="C58" s="37"/>
      <c r="D58" s="37"/>
      <c r="E58" s="37"/>
      <c r="F58" s="37"/>
      <c r="G58" s="37"/>
      <c r="H58" s="37"/>
      <c r="I58" s="37"/>
      <c r="J58" s="37"/>
      <c r="K58" s="1"/>
    </row>
    <row r="59" spans="1:11" ht="31.95" customHeight="1">
      <c r="A59" s="1"/>
      <c r="B59" s="23" t="s">
        <v>148</v>
      </c>
      <c r="C59" s="23"/>
      <c r="D59" s="23"/>
      <c r="E59" s="23"/>
      <c r="F59" s="23"/>
      <c r="G59" s="23"/>
      <c r="H59" s="23"/>
      <c r="I59" s="23"/>
      <c r="J59" s="23"/>
      <c r="K59" s="1"/>
    </row>
    <row r="60" spans="1:11" ht="31.95" customHeight="1">
      <c r="A60" s="1"/>
      <c r="B60" s="23"/>
      <c r="C60" s="23"/>
      <c r="D60" s="23"/>
      <c r="E60" s="23"/>
      <c r="F60" s="23"/>
      <c r="G60" s="23"/>
      <c r="H60" s="23"/>
      <c r="I60" s="23"/>
      <c r="J60" s="23"/>
      <c r="K60" s="1"/>
    </row>
    <row r="61" spans="1:11" ht="31.95" customHeight="1">
      <c r="A61" s="1"/>
      <c r="B61" s="23"/>
      <c r="C61" s="23"/>
      <c r="D61" s="23"/>
      <c r="E61" s="23"/>
      <c r="F61" s="23"/>
      <c r="G61" s="23"/>
      <c r="H61" s="23"/>
      <c r="I61" s="23"/>
      <c r="J61" s="23"/>
      <c r="K61" s="1"/>
    </row>
    <row r="62" spans="1:11" ht="31.95" customHeight="1">
      <c r="A62" s="1"/>
      <c r="B62" s="23"/>
      <c r="C62" s="23"/>
      <c r="D62" s="23"/>
      <c r="E62" s="23"/>
      <c r="F62" s="23"/>
      <c r="G62" s="23"/>
      <c r="H62" s="23"/>
      <c r="I62" s="23"/>
      <c r="J62" s="23"/>
      <c r="K62" s="1"/>
    </row>
    <row r="63" spans="1:11">
      <c r="A63" s="1"/>
      <c r="B63" s="1"/>
      <c r="C63" s="1"/>
      <c r="D63" s="1"/>
      <c r="E63" s="1"/>
      <c r="F63" s="1"/>
      <c r="G63" s="1"/>
      <c r="H63" s="1"/>
      <c r="I63" s="1"/>
      <c r="J63" s="1"/>
      <c r="K63" s="1"/>
    </row>
    <row r="64" spans="1:11" ht="41.25" customHeight="1">
      <c r="A64" s="1"/>
      <c r="B64" s="37" t="s">
        <v>122</v>
      </c>
      <c r="C64" s="37"/>
      <c r="D64" s="37"/>
      <c r="E64" s="37"/>
      <c r="F64" s="37"/>
      <c r="G64" s="37"/>
      <c r="H64" s="37"/>
      <c r="I64" s="37"/>
      <c r="J64" s="37"/>
      <c r="K64" s="1"/>
    </row>
    <row r="65" spans="1:11" ht="31.95" customHeight="1">
      <c r="A65" s="1"/>
      <c r="B65" s="23" t="s">
        <v>149</v>
      </c>
      <c r="C65" s="23"/>
      <c r="D65" s="23"/>
      <c r="E65" s="23"/>
      <c r="F65" s="23"/>
      <c r="G65" s="23"/>
      <c r="H65" s="23"/>
      <c r="I65" s="23"/>
      <c r="J65" s="23"/>
      <c r="K65" s="1"/>
    </row>
    <row r="66" spans="1:11" ht="31.95" customHeight="1">
      <c r="A66" s="1"/>
      <c r="B66" s="23"/>
      <c r="C66" s="23"/>
      <c r="D66" s="23"/>
      <c r="E66" s="23"/>
      <c r="F66" s="23"/>
      <c r="G66" s="23"/>
      <c r="H66" s="23"/>
      <c r="I66" s="23"/>
      <c r="J66" s="23"/>
      <c r="K66" s="1"/>
    </row>
    <row r="67" spans="1:11" ht="31.95" customHeight="1">
      <c r="A67" s="1"/>
      <c r="B67" s="23"/>
      <c r="C67" s="23"/>
      <c r="D67" s="23"/>
      <c r="E67" s="23"/>
      <c r="F67" s="23"/>
      <c r="G67" s="23"/>
      <c r="H67" s="23"/>
      <c r="I67" s="23"/>
      <c r="J67" s="23"/>
      <c r="K67" s="1"/>
    </row>
    <row r="68" spans="1:11" ht="31.95" customHeight="1">
      <c r="A68" s="1"/>
      <c r="B68" s="23"/>
      <c r="C68" s="23"/>
      <c r="D68" s="23"/>
      <c r="E68" s="23"/>
      <c r="F68" s="23"/>
      <c r="G68" s="23"/>
      <c r="H68" s="23"/>
      <c r="I68" s="23"/>
      <c r="J68" s="23"/>
      <c r="K68" s="1"/>
    </row>
  </sheetData>
  <mergeCells count="20">
    <mergeCell ref="B59:J62"/>
    <mergeCell ref="B64:J64"/>
    <mergeCell ref="B65:J68"/>
    <mergeCell ref="B31:E31"/>
    <mergeCell ref="F31:J31"/>
    <mergeCell ref="B52:J52"/>
    <mergeCell ref="B53:J56"/>
    <mergeCell ref="B58:J58"/>
    <mergeCell ref="B13:J13"/>
    <mergeCell ref="B22:J22"/>
    <mergeCell ref="B23:J25"/>
    <mergeCell ref="B28:J28"/>
    <mergeCell ref="B29:E29"/>
    <mergeCell ref="F29:J29"/>
    <mergeCell ref="B2:J2"/>
    <mergeCell ref="B3:J3"/>
    <mergeCell ref="B4:J4"/>
    <mergeCell ref="B7:J7"/>
    <mergeCell ref="G10:J10"/>
    <mergeCell ref="C8:E8"/>
  </mergeCells>
  <hyperlinks>
    <hyperlink ref="G10" r:id="rId1" xr:uid="{574DFAAE-708E-4D7E-B873-706B860892F7}"/>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morales</dc:creator>
  <cp:lastModifiedBy>adriana morales</cp:lastModifiedBy>
  <dcterms:created xsi:type="dcterms:W3CDTF">2026-08-29T14:54:12Z</dcterms:created>
  <dcterms:modified xsi:type="dcterms:W3CDTF">2026-08-29T21:03:30Z</dcterms:modified>
</cp:coreProperties>
</file>