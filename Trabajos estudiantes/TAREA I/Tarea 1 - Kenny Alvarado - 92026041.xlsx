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8546148a73ea4b72/Desktop/MACROECONOMÍA/TAREAS/"/>
    </mc:Choice>
  </mc:AlternateContent>
  <xr:revisionPtr revIDLastSave="267" documentId="13_ncr:1_{F00089D5-05D0-7D4D-8AEA-5E5C8EC4F2EB}" xr6:coauthVersionLast="47" xr6:coauthVersionMax="47" xr10:uidLastSave="{B8DA7DD1-81A2-4F64-A942-275ED466A5E7}"/>
  <bookViews>
    <workbookView xWindow="-120" yWindow="-120" windowWidth="29040" windowHeight="15720" xr2:uid="{00000000-000D-0000-FFFF-FFFF00000000}"/>
  </bookViews>
  <sheets>
    <sheet name="Portada" sheetId="1" r:id="rId1"/>
    <sheet name="E1 Producción" sheetId="2" r:id="rId2"/>
    <sheet name="E2 Gasto" sheetId="3" r:id="rId3"/>
    <sheet name="E3 Ingreso" sheetId="4" r:id="rId4"/>
    <sheet name="E4 Tres enfoques" sheetId="5" r:id="rId5"/>
    <sheet name="E5 Guatemala"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6" l="1"/>
  <c r="F31" i="6"/>
  <c r="F18" i="6"/>
  <c r="F16" i="6"/>
  <c r="F17" i="6"/>
  <c r="F19" i="6"/>
  <c r="F15" i="6"/>
  <c r="E16" i="6"/>
  <c r="E17" i="6"/>
  <c r="E18" i="6"/>
  <c r="E19" i="6"/>
  <c r="E15" i="6"/>
  <c r="F16" i="5"/>
  <c r="E24" i="5"/>
  <c r="B24" i="5"/>
  <c r="C19" i="5"/>
  <c r="D10" i="4"/>
  <c r="D11" i="4"/>
  <c r="D12" i="4"/>
  <c r="D13" i="4"/>
  <c r="D9" i="4"/>
  <c r="E19" i="4"/>
  <c r="E17" i="4"/>
  <c r="E24" i="3"/>
  <c r="E22" i="3"/>
  <c r="E20" i="3"/>
  <c r="E18" i="3"/>
  <c r="F10" i="2"/>
  <c r="F11" i="2"/>
  <c r="F12" i="2"/>
  <c r="F9" i="2"/>
  <c r="E25" i="2"/>
  <c r="E23" i="2"/>
  <c r="E21" i="2"/>
  <c r="E10" i="2"/>
  <c r="E11" i="2"/>
  <c r="E12" i="2"/>
  <c r="E9" i="2"/>
  <c r="F29" i="6" l="1"/>
</calcChain>
</file>

<file path=xl/sharedStrings.xml><?xml version="1.0" encoding="utf-8"?>
<sst xmlns="http://schemas.openxmlformats.org/spreadsheetml/2006/main" count="158" uniqueCount="143">
  <si>
    <t>TAREA DE APLICACIÓN</t>
  </si>
  <si>
    <t>MEDICIÓN DEL PRODUCTO INTERNO BRUTO</t>
  </si>
  <si>
    <t>Producción · Gasto · Ingreso · Lectura del PIB de Guatemala
Formato de trabajo para desarrollar procedimientos, resultados e interpretaciones.</t>
  </si>
  <si>
    <t>DATOS DEL ESTUDIANTE</t>
  </si>
  <si>
    <t>Nombre</t>
  </si>
  <si>
    <t>Carné</t>
  </si>
  <si>
    <t>Fecha</t>
  </si>
  <si>
    <t>Sección / grupo</t>
  </si>
  <si>
    <t>CÓMO UTILIZAR ESTE ARCHIVO</t>
  </si>
  <si>
    <t>1. Use las celdas crema para desarrollar cálculos, completar resultados o ingresar datos del Banco de Guatemala.</t>
  </si>
  <si>
    <t>2. Mantenga un procedimiento legible. La tarea evalúa cálculo e interpretación, no únicamente la respuesta final.</t>
  </si>
  <si>
    <t>3. Los bloques azul claro son espacios para redactar interpretación económica y reflexión.</t>
  </si>
  <si>
    <t>4. En el ejercicio 5 registre la fuente exacta, la fecha de consulta y el PIB total utilizado como denominador.</t>
  </si>
  <si>
    <t>RECORRIDO DE LA TAREA</t>
  </si>
  <si>
    <t>01
PRODUCCIÓN
VAB y estructura</t>
  </si>
  <si>
    <t>02
GASTO
C + I + G + (X − M)</t>
  </si>
  <si>
    <t>03
INGRESO
Distribución primaria</t>
  </si>
  <si>
    <t>04
TRES ENFOQUES
Identidades y variables faltantes</t>
  </si>
  <si>
    <t>05
GUATEMALA
Estructura productiva real</t>
  </si>
  <si>
    <t>LEYENDA VISUAL</t>
  </si>
  <si>
    <t>COMPLETAR
por el estudiante</t>
  </si>
  <si>
    <t>INTERPRETAR
comentario / reflexión</t>
  </si>
  <si>
    <t>RECORDAR
fórmula o idea conceptual</t>
  </si>
  <si>
    <t>01  ·  PIB POR EL ENFOQUE DE LA PRODUCCIÓN</t>
  </si>
  <si>
    <t>Calcule el VAB por actividad, el VAB total, los impuestos netos y el PIB.</t>
  </si>
  <si>
    <t>DATOS Y CÁLCULOS</t>
  </si>
  <si>
    <t>Actividad económica</t>
  </si>
  <si>
    <t>VBP</t>
  </si>
  <si>
    <t>Consumo intermedio</t>
  </si>
  <si>
    <t>VAB</t>
  </si>
  <si>
    <t>% del VAB total</t>
  </si>
  <si>
    <t>Agricultura</t>
  </si>
  <si>
    <t>Industrias manufactureras</t>
  </si>
  <si>
    <t>Construcción</t>
  </si>
  <si>
    <t>Comercio y otros servicios</t>
  </si>
  <si>
    <t>DATOS ADICIONALES</t>
  </si>
  <si>
    <t>Impuestos sobre los productos</t>
  </si>
  <si>
    <t>Subvenciones sobre los productos</t>
  </si>
  <si>
    <t>RESULTADOS DE CIERRE</t>
  </si>
  <si>
    <t>VAB total</t>
  </si>
  <si>
    <t>Impuestos netos sobre los productos</t>
  </si>
  <si>
    <t>PIB por el enfoque de la producción</t>
  </si>
  <si>
    <t>PROCEDIMIENTO</t>
  </si>
  <si>
    <t>Desarrolle aquí las operaciones utilizadas para obtener el VAB de cada actividad, el VAB total, los impuestos netos y el PIB.</t>
  </si>
  <si>
    <t>RECORDATORIO CONCEPTUAL</t>
  </si>
  <si>
    <t>VABᵢ = Producciónᵢ − Consumo intermedioᵢ
PIB = Σ VABᵢ + impuestos netos sobre los productos</t>
  </si>
  <si>
    <t>Interpretación (máximo cinco líneas): ¿por qué sería incorrecto sumar directamente el VBP de las cuatro actividades? ¿Cuál actividad genera la mayor proporción del valor agregado?</t>
  </si>
  <si>
    <t>02  ·  PIB POR EL ENFOQUE DEL GASTO</t>
  </si>
  <si>
    <t>Determine inversión agregada, exportaciones netas, PIB y el efecto de un cambio en el consumo.</t>
  </si>
  <si>
    <t>COMPONENTES DEL GASTO</t>
  </si>
  <si>
    <t>Componente</t>
  </si>
  <si>
    <t>Millones de Q</t>
  </si>
  <si>
    <t>Consumo final de los hogares</t>
  </si>
  <si>
    <t>Gasto de consumo final del gobierno</t>
  </si>
  <si>
    <t>Formación bruta de capital fijo</t>
  </si>
  <si>
    <t>Variación de existencias</t>
  </si>
  <si>
    <t>Exportaciones de bienes y servicios</t>
  </si>
  <si>
    <t>Importaciones de bienes y servicios</t>
  </si>
  <si>
    <t>RESULTADOS</t>
  </si>
  <si>
    <t>Inversión agregada (I)</t>
  </si>
  <si>
    <t>Exportaciones netas (X − M)</t>
  </si>
  <si>
    <t>PIB por el enfoque del gasto</t>
  </si>
  <si>
    <t>Nuevo PIB si C aumenta Q250 millones</t>
  </si>
  <si>
    <t>RECORDATORIO</t>
  </si>
  <si>
    <t>I = FBCF + ΔE       |       PIB = C + I + G + (X − M)</t>
  </si>
  <si>
    <t>Interpretación: explique (a) por qué las importaciones se restan en la identidad del gasto y (b) qué significa económicamente una variación de existencias negativa.</t>
  </si>
  <si>
    <t>03  ·  PIB POR EL ENFOQUE DEL INGRESO</t>
  </si>
  <si>
    <t>Calcule impuestos netos, PIB y la participación de los principales componentes del ingreso.</t>
  </si>
  <si>
    <t>COMPONENTES DEL INGRESO</t>
  </si>
  <si>
    <t>Componente del ingreso</t>
  </si>
  <si>
    <t>Participación en el PIB</t>
  </si>
  <si>
    <t>Remuneración de asalariados</t>
  </si>
  <si>
    <t>Excedente bruto de explotación</t>
  </si>
  <si>
    <t>Ingreso mixto bruto</t>
  </si>
  <si>
    <t>Impuestos sobre la producción y las importaciones</t>
  </si>
  <si>
    <t>Subvenciones</t>
  </si>
  <si>
    <t>Impuestos netos de subvenciones</t>
  </si>
  <si>
    <t>PIB por el enfoque del ingreso</t>
  </si>
  <si>
    <t>PIB = RA + EBE + IMB + impuestos netos
Participación = componente / PIB</t>
  </si>
  <si>
    <t>Interpretación: ¿qué representa el ingreso mixto y por qué puede ser particularmente relevante en economías con una presencia importante de trabajadores por cuenta propia y pequeños negocios familiares?</t>
  </si>
  <si>
    <t>04  ·  UNA ECONOMÍA, TRES ENFOQUES</t>
  </si>
  <si>
    <t>Recupere las variables faltantes y compruebe que producción, gasto e ingreso describen el mismo PIB.</t>
  </si>
  <si>
    <t>PIB CONOCIDO POR PRODUCCIÓN</t>
  </si>
  <si>
    <t>PIB por producción</t>
  </si>
  <si>
    <t>Q 9,000 millones</t>
  </si>
  <si>
    <t>ENFOQUE DEL GASTO</t>
  </si>
  <si>
    <t>ENFOQUE DEL INGRESO</t>
  </si>
  <si>
    <t>Consumo de los hogares</t>
  </si>
  <si>
    <t>Inversión</t>
  </si>
  <si>
    <t>Gasto del gobierno</t>
  </si>
  <si>
    <t>Ingreso mixto</t>
  </si>
  <si>
    <t>Exportaciones</t>
  </si>
  <si>
    <t>Impuestos netos</t>
  </si>
  <si>
    <t>Importaciones</t>
  </si>
  <si>
    <t>VARIABLES A RECUPERAR</t>
  </si>
  <si>
    <t>Importaciones (M)</t>
  </si>
  <si>
    <t>Excedente bruto de explotación (EBE)</t>
  </si>
  <si>
    <t>Verificación de identidad</t>
  </si>
  <si>
    <t>PIB producción = PIB gasto = PIB ingreso</t>
  </si>
  <si>
    <t>Muestre el despeje de las importaciones mediante la identidad del gasto y el despeje del EBE mediante la identidad del ingreso. Luego compruebe numéricamente que los tres enfoques conducen al mismo PIB.</t>
  </si>
  <si>
    <t>IDEA CENTRAL</t>
  </si>
  <si>
    <t>PIB₍producción₎ = PIB₍gasto₎ = PIB₍ingreso₎</t>
  </si>
  <si>
    <t>Explique por qué esta igualdad conceptual no implica que los tres enfoques utilicen exactamente las mismas fuentes estadísticas.</t>
  </si>
  <si>
    <t>Reflexión: si en la práctica las estimaciones de distintas fuentes presentan discrepancias estadísticas, ¿significa necesariamente que alguno de los tres enfoques está conceptualmente equivocado? Fundamente.</t>
  </si>
  <si>
    <t>05  ·  LECTURA DEL PIB DE GUATEMALA POR ACTIVIDAD ECONÓMICA</t>
  </si>
  <si>
    <t>Use información oficial del Banco de Guatemala para describir peso económico y variación reciente.</t>
  </si>
  <si>
    <t>TRAZABILIDAD DE LA INFORMACIÓN</t>
  </si>
  <si>
    <t>Nombre exacto del cuadro</t>
  </si>
  <si>
    <t>PIB total 2024 a precios corrientes</t>
  </si>
  <si>
    <t>Fecha de consulta</t>
  </si>
  <si>
    <t>URL / ruta de consulta</t>
  </si>
  <si>
    <t>https://www.banguat.gob.gt/</t>
  </si>
  <si>
    <t>ACTIVIDADES SELECCIONADAS</t>
  </si>
  <si>
    <t>VAB 2023</t>
  </si>
  <si>
    <t>VAB 2024</t>
  </si>
  <si>
    <t>Variación del valor (%)</t>
  </si>
  <si>
    <t>Participación PIB 2024 (%)</t>
  </si>
  <si>
    <t>Agricultura, ganadería, silvicultura y pesca</t>
  </si>
  <si>
    <t>Comercio y reparación de vehículos</t>
  </si>
  <si>
    <t>Actividad seleccionada por el estudiante</t>
  </si>
  <si>
    <t>FÓRMULAS A UTILIZAR</t>
  </si>
  <si>
    <t>Variaciónᵢ = (VABᵢ,2024 / VABᵢ,2023 − 1) × 100
Participaciónᵢ = (VABᵢ,2024 / PIB₂₀₂₄) × 100
Use valores a precios corrientes para calcular participaciones.</t>
  </si>
  <si>
    <t>LECTURA DE LOS RESULTADOS</t>
  </si>
  <si>
    <t>Actividad con mayor participación dentro del PIB:</t>
  </si>
  <si>
    <t>Actividad con mayor variación entre 2023 y 2024:</t>
  </si>
  <si>
    <t>1. ¿La actividad con mayor participación en el PIB es necesariamente la que presenta la mayor variación? Explique la diferencia entre peso económico y dinamismo.</t>
  </si>
  <si>
    <t>2. Compare dos actividades seleccionadas. ¿Qué diferencias observa en su importancia relativa y comportamiento reciente?</t>
  </si>
  <si>
    <t>3. Si el PIB total aumenta mientras una actividad disminuye, ¿existe contradicción? Además, ¿qué precaución debe tener al interpretar variaciones calculadas con valores corrientes?</t>
  </si>
  <si>
    <t>5. Entregue este archivo.</t>
  </si>
  <si>
    <t>Kenny Oseas Obbiel Alvarado García</t>
  </si>
  <si>
    <t>Sería incorrecto sumar directamente los valores brutos de producción porque eso contaría múltiples veces los insumos intermedios como una doble contabilidad. El VAB elimina ese problema al restar el consumo intermedio. La actividad con mayor participación en el valor agregado es Comercio y otros servicios con un 33.25%, seguida muy de cerca por Industrias manufactureras con un 28.33%.</t>
  </si>
  <si>
    <t xml:space="preserve">Desarrolle aquí:
• I = FBCF + ΔE = 1700 + (-120) = Q1580 millones
• X − M = 1250 -1640 = Q -390 millones 
• PIB = C + I + G + (X − M) = 5100 +1580 +1150 + (-390) = 7830-390 = Q 7440 millones
• nuevo PIB cuando el consumo aumenta Q250 millones. Nuevo PIB = 7440 + 250 = Q 7690 millones </t>
  </si>
  <si>
    <t>a) Las importaciones se restan en la identidad del gasto porque representan bienes y servicios producidos en el extranjero; al sumar C + I + G + X estamos contando el gasto total en bienes finales independientemente de su origen, y para quedarnos solo con lo producido internamente, debemos restar lo importado.
b) Una variación de existencias negativa (∆E &lt; 0) significa que las empresas vendieron más de lo que produjeron en el período, desabasteciendo sus inventarios. Económicamente indica que la demanda fue mayor que la producción corriente, y parte de esa demanda se satisfizo con existencias acumuladas en períodos anteriores.</t>
  </si>
  <si>
    <t>Desarrolle las operaciones para:
• impuestos netos de subvenciones; Impuestos netos = 620 - 110 = Q510 millones
• PIB por el enfoque del ingreso; PIB = 4250 + 2100 + 960 + 510 = Q 7820 millones
• participación de RA, EBE e ingreso mixto dentro del PIB.</t>
  </si>
  <si>
    <t>El ingreso mixto representa la remuneración de los trabajadores por cuenta propia y propietarios de negocios no constituidos en sociedad, donde no puede separarse claramente el ingreso del trabajo del ingreso del capital. Es particularmente relevante en economías como la guatemalteca porque una parte significativa de la población trabaja en el sector informal o en pequeños negocios familiares como en agricultura de subsistencia, comercio ambulante, talleres artesanales, donde la contabilidad formal no distingue entre salario y beneficio empresarial.</t>
  </si>
  <si>
    <t>La igualdad contable no implica que los tres enfoques usen las mismas fuentes. Cada enfoque se construye con información distinta: encuestas de producción (VAB), encuestas de gasto de hogares y empresas (consumo, inversión, comercio exterior), y registros laborales y fiscales (ingresos).                                                                                                                                                                                                                 Pregunta de reflexión. En la práctica, las estimaciones obtenidas por diferentes fuentes pueden
presentar discrepancias estadísticas. ¿Significaría esto necesariamente que alguno de los tres
enfoques está conceptualmente equivocado? Fundamente brevemente.  RESPUESTA A PREGUNTA DE REFLEXIÓN: No, una discrepancia estadística no implica que algún enfoque esté conceptualmente equivocado. Simplemente refleja que las fuentes de información son imperfectas: errores de muestreo, subdeclaración, economía informal, rezagos en la recolección, etc. Los tres enfoques miden el mismo concepto desde perspectivas distintas; las discrepancias son técnicas, no conceptuales.</t>
  </si>
  <si>
    <t>7_Resultados_por_actividad_economica_en_departamentos</t>
  </si>
  <si>
    <t>Actividad seleccionada: Actividades financieras y de seguros - hoja K</t>
  </si>
  <si>
    <t>COMERCIO Y REPARACIÓN DE VEHÍCULOS</t>
  </si>
  <si>
    <t>ACTIVIDADES FINANCIERAS Y DE SEGUROS</t>
  </si>
  <si>
    <t>No, la actividad con mayor participación en el PIB no es necesariamente la que presenta la mayor variación. El peso económico mide la importancia relativa de un sector en la estructura productiva (participación porcentual), mientras que el dinamismo mide su velocidad de crecimiento interanual (variación porcentual). Una actividad puede tener alto peso pero bajo dinamismo (gran tamaño, lento crecimiento), o bajo peso pero alto dinamismo (tamaño reducido, rápido crecimiento). En Guatemala 2024, Comercio tiene la mayor participación (21.28%) pero crece al 10.36%, mientras que Financieras tiene la mayor variación (12.56%) pese a su menor participación (4.45%). Por ello, ambas dimensiones son complementarias y deben analizarse en conjunto para comprender la evolución de la economía.</t>
  </si>
  <si>
    <t>Comparando Comercio y reparación de vehículos con Actividades financieras y de seguros, se observa que el Comercio posee un peso estructural mucho mayor (21.28% del PIB), lo que refleja su rol central en la distribución de bienes y su efecto en todo el territorio nacional. En cambio, las Actividades financieras y de seguros tienen una participación más reducida (4.45%), aunque muestran un dinamismo superior (12.56% vs. 10.36%), lo que evidencia un sector financiero en expansión impulsado por la intermediación crediticia y los servicios digitales. Mientras el Comercio crece a un ritmo moderado pero constante, consistente con el consumo privado, las Financieras presentan un comportamiento más volátil y acelerado, propio de sectores sensibles a las tasas de interés y al ciclo económico. Esta diferencia revela que el Comercio y reparación de vehículos es un sector de gran tamaño pero menor dinamismo relativo, mientras que las Actividades financieras y de seguros son un sector más pequeño pero de alto crecimiento, que gana participación gradualmente en la estructura productiva guatemalteca.</t>
  </si>
  <si>
    <t>No existe contradicción, pues el PIB total es la suma de los valores agregados de todas las actividades; si una disminuye pero otras crecen lo suficiente para compensarlo, el agregado puede aumentar sin que todos los sectores crezcan simultáneamente. En cuanto a la precaución, las variaciones calculadas con valores corrientes incorporan tanto cambios en precios como la inflación, asimismo, en cantidades como la producción real, por lo que no deben interpretarse directamente como crecimiento de la producción física, para medir el crecimiento real se requieren valores a precios constantes.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</si>
</sst>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name val="Carlito"/>
    </font>
    <font>
      <b/>
      <sz val="23"/>
      <color rgb="FFFFFFFF"/>
      <name val="Carlito"/>
    </font>
    <font>
      <b/>
      <sz val="14"/>
      <color rgb="FFDCE7F0"/>
      <name val="Carlito"/>
    </font>
    <font>
      <b/>
      <sz val="14"/>
      <color rgb="FF164873"/>
      <name val="Carlito"/>
    </font>
    <font>
      <b/>
      <sz val="11"/>
      <color rgb="FFFFFFFF"/>
      <name val="Carlito"/>
    </font>
    <font>
      <b/>
      <sz val="10"/>
      <color rgb="FF0B2E4F"/>
      <name val="Carlito"/>
    </font>
    <font>
      <sz val="10"/>
      <color rgb="FF0B2E4F"/>
      <name val="Carlito"/>
    </font>
    <font>
      <sz val="10"/>
      <color rgb="FF4B5563"/>
      <name val="Carlito"/>
    </font>
    <font>
      <b/>
      <sz val="11"/>
      <color rgb="FF0B2E4F"/>
      <name val="Carlito"/>
    </font>
    <font>
      <b/>
      <sz val="10"/>
      <color rgb="FF164873"/>
      <name val="Carlito"/>
    </font>
    <font>
      <b/>
      <sz val="10"/>
      <color rgb="FF2F6B57"/>
      <name val="Carlito"/>
    </font>
    <font>
      <b/>
      <sz val="19"/>
      <color rgb="FFFFFFFF"/>
      <name val="Carlito"/>
    </font>
    <font>
      <sz val="10"/>
      <color rgb="FFDCE7F0"/>
      <name val="Carlito"/>
    </font>
    <font>
      <b/>
      <sz val="10"/>
      <color rgb="FFFFFFFF"/>
      <name val="Carlito"/>
    </font>
    <font>
      <b/>
      <sz val="12"/>
      <color rgb="FFF97316"/>
      <name val="Carlito"/>
    </font>
    <font>
      <b/>
      <sz val="11"/>
      <color rgb="FF2F6B57"/>
      <name val="Carlito"/>
    </font>
    <font>
      <b/>
      <sz val="13"/>
      <color rgb="FF2F6B57"/>
      <name val="Carlito"/>
    </font>
    <font>
      <b/>
      <sz val="18"/>
      <color rgb="FFF97316"/>
      <name val="Carlito"/>
    </font>
    <font>
      <b/>
      <sz val="11"/>
      <color rgb="FFF97316"/>
      <name val="Carlito"/>
    </font>
  </fonts>
  <fills count="14">
    <fill>
      <patternFill patternType="none"/>
    </fill>
    <fill>
      <patternFill patternType="gray125"/>
    </fill>
    <fill>
      <patternFill patternType="solid">
        <fgColor rgb="FFFFFFFF"/>
      </patternFill>
    </fill>
    <fill>
      <patternFill patternType="solid">
        <fgColor rgb="FF0B2E4F"/>
      </patternFill>
    </fill>
    <fill>
      <patternFill patternType="solid">
        <fgColor rgb="FFF97316"/>
      </patternFill>
    </fill>
    <fill>
      <patternFill patternType="solid">
        <fgColor rgb="FFEEF4F8"/>
      </patternFill>
    </fill>
    <fill>
      <patternFill patternType="solid">
        <fgColor rgb="FF164873"/>
      </patternFill>
    </fill>
    <fill>
      <patternFill patternType="solid">
        <fgColor rgb="FFF7F8FA"/>
      </patternFill>
    </fill>
    <fill>
      <patternFill patternType="solid">
        <fgColor rgb="FFFFF2E8"/>
      </patternFill>
    </fill>
    <fill>
      <patternFill patternType="solid">
        <fgColor rgb="FFEAF4EF"/>
      </patternFill>
    </fill>
    <fill>
      <patternFill patternType="solid">
        <fgColor rgb="FF2F6B57"/>
      </patternFill>
    </fill>
    <fill>
      <patternFill patternType="solid">
        <fgColor rgb="FFFFFF00"/>
        <bgColor indexed="64"/>
      </patternFill>
    </fill>
    <fill>
      <patternFill patternType="solid">
        <fgColor theme="0"/>
        <bgColor indexed="64"/>
      </patternFill>
    </fill>
    <fill>
      <patternFill patternType="solid">
        <fgColor theme="6" tint="0.39997558519241921"/>
        <bgColor indexed="64"/>
      </patternFill>
    </fill>
  </fills>
  <borders count="1">
    <border>
      <left/>
      <right/>
      <top/>
      <bottom/>
      <diagonal/>
    </border>
  </borders>
  <cellStyleXfs count="1">
    <xf numFmtId="0" fontId="0" fillId="0" borderId="0"/>
  </cellStyleXfs>
  <cellXfs count="45">
    <xf numFmtId="0" fontId="0" fillId="0" borderId="0" xfId="0"/>
    <xf numFmtId="0" fontId="0" fillId="2" borderId="0" xfId="0" applyFill="1"/>
    <xf numFmtId="0" fontId="5" fillId="7" borderId="0" xfId="0" applyFont="1" applyFill="1" applyAlignment="1">
      <alignment vertical="center"/>
    </xf>
    <xf numFmtId="0" fontId="6" fillId="8" borderId="0" xfId="0" applyFont="1" applyFill="1" applyAlignment="1">
      <alignment horizontal="left" vertical="center" wrapText="1"/>
    </xf>
    <xf numFmtId="0" fontId="13" fillId="6" borderId="0" xfId="0" applyFont="1" applyFill="1" applyAlignment="1">
      <alignment horizontal="center" vertical="center" wrapText="1"/>
    </xf>
    <xf numFmtId="0" fontId="7" fillId="7" borderId="0" xfId="0" applyFont="1" applyFill="1" applyAlignment="1">
      <alignment vertical="center" wrapText="1"/>
    </xf>
    <xf numFmtId="3" fontId="7" fillId="7" borderId="0" xfId="0" applyNumberFormat="1" applyFont="1" applyFill="1" applyAlignment="1">
      <alignment vertical="center" wrapText="1"/>
    </xf>
    <xf numFmtId="3" fontId="6" fillId="8" borderId="0" xfId="0" applyNumberFormat="1" applyFont="1" applyFill="1" applyAlignment="1">
      <alignment horizontal="left" vertical="center" wrapText="1"/>
    </xf>
    <xf numFmtId="10" fontId="6" fillId="8" borderId="0" xfId="0" applyNumberFormat="1" applyFont="1" applyFill="1" applyAlignment="1">
      <alignment horizontal="left" vertical="center" wrapText="1"/>
    </xf>
    <xf numFmtId="38" fontId="7" fillId="7" borderId="0" xfId="0" applyNumberFormat="1" applyFont="1" applyFill="1" applyAlignment="1">
      <alignment vertical="center" wrapText="1"/>
    </xf>
    <xf numFmtId="0" fontId="5" fillId="7" borderId="0" xfId="0" applyFont="1" applyFill="1" applyAlignment="1">
      <alignment vertical="center" wrapText="1"/>
    </xf>
    <xf numFmtId="4" fontId="6" fillId="8" borderId="0" xfId="0" applyNumberFormat="1" applyFont="1" applyFill="1" applyAlignment="1">
      <alignment horizontal="left" vertical="center" wrapText="1"/>
    </xf>
    <xf numFmtId="0" fontId="7" fillId="2" borderId="0" xfId="0" applyFont="1" applyFill="1" applyAlignment="1">
      <alignment vertical="top" wrapText="1"/>
    </xf>
    <xf numFmtId="0" fontId="4" fillId="10" borderId="0" xfId="0" applyFont="1" applyFill="1" applyAlignment="1">
      <alignment vertical="center"/>
    </xf>
    <xf numFmtId="0" fontId="15" fillId="9" borderId="0" xfId="0" applyFont="1" applyFill="1" applyAlignment="1">
      <alignment horizontal="center" vertical="center" wrapText="1"/>
    </xf>
    <xf numFmtId="0" fontId="9" fillId="5" borderId="0" xfId="0" applyFont="1" applyFill="1" applyAlignment="1">
      <alignment vertical="center" wrapText="1"/>
    </xf>
    <xf numFmtId="0" fontId="14" fillId="8" borderId="0" xfId="0" applyFont="1" applyFill="1" applyAlignment="1">
      <alignment horizontal="center" vertical="center"/>
    </xf>
    <xf numFmtId="0" fontId="9" fillId="5" borderId="0" xfId="0" applyFont="1" applyFill="1" applyAlignment="1">
      <alignment horizontal="center" vertical="center" wrapText="1"/>
    </xf>
    <xf numFmtId="0" fontId="4" fillId="6" borderId="0" xfId="0" applyFont="1" applyFill="1" applyAlignment="1">
      <alignment vertical="center"/>
    </xf>
    <xf numFmtId="0" fontId="6" fillId="8" borderId="0" xfId="0" applyFont="1" applyFill="1" applyAlignment="1">
      <alignment vertical="top" wrapText="1"/>
    </xf>
    <xf numFmtId="0" fontId="10" fillId="9" borderId="0" xfId="0" applyFont="1" applyFill="1" applyAlignment="1">
      <alignment vertical="center"/>
    </xf>
    <xf numFmtId="0" fontId="11" fillId="3" borderId="0" xfId="0" applyFont="1" applyFill="1" applyAlignment="1">
      <alignment vertical="center"/>
    </xf>
    <xf numFmtId="0" fontId="12" fillId="3" borderId="0" xfId="0" applyFont="1" applyFill="1" applyAlignment="1">
      <alignment vertical="center" wrapText="1"/>
    </xf>
    <xf numFmtId="0" fontId="0" fillId="4" borderId="0" xfId="0" applyFill="1"/>
    <xf numFmtId="0" fontId="16" fillId="9" borderId="0" xfId="0" applyFont="1" applyFill="1" applyAlignment="1">
      <alignment horizontal="center" vertical="center"/>
    </xf>
    <xf numFmtId="0" fontId="17" fillId="8" borderId="0" xfId="0" applyFont="1" applyFill="1" applyAlignment="1">
      <alignment horizontal="center" vertical="center"/>
    </xf>
    <xf numFmtId="0" fontId="8" fillId="7" borderId="0" xfId="0" applyFont="1" applyFill="1" applyAlignment="1">
      <alignment horizontal="center" vertical="center" wrapText="1"/>
    </xf>
    <xf numFmtId="0" fontId="8" fillId="8" borderId="0" xfId="0" applyFont="1" applyFill="1" applyAlignment="1">
      <alignment horizontal="center" vertical="center" wrapText="1"/>
    </xf>
    <xf numFmtId="0" fontId="5" fillId="8" borderId="0" xfId="0" applyFont="1" applyFill="1" applyAlignment="1">
      <alignment horizontal="center" vertical="center" wrapText="1"/>
    </xf>
    <xf numFmtId="0" fontId="10" fillId="9" borderId="0" xfId="0" applyFont="1" applyFill="1" applyAlignment="1">
      <alignment horizontal="center" vertical="center" wrapText="1"/>
    </xf>
    <xf numFmtId="0" fontId="7" fillId="2" borderId="0" xfId="0" applyFont="1" applyFill="1" applyAlignment="1">
      <alignment vertical="center" wrapText="1"/>
    </xf>
    <xf numFmtId="0" fontId="1" fillId="3" borderId="0" xfId="0" applyFont="1" applyFill="1" applyAlignment="1">
      <alignment vertical="center"/>
    </xf>
    <xf numFmtId="0" fontId="2" fillId="3" borderId="0" xfId="0" applyFont="1" applyFill="1" applyAlignment="1">
      <alignment vertical="center"/>
    </xf>
    <xf numFmtId="0" fontId="3" fillId="5" borderId="0" xfId="0" applyFont="1" applyFill="1" applyAlignment="1">
      <alignment horizontal="center" vertical="center" wrapText="1"/>
    </xf>
    <xf numFmtId="0" fontId="18" fillId="8" borderId="0" xfId="0" applyFont="1" applyFill="1" applyAlignment="1">
      <alignment horizontal="center" vertical="center"/>
    </xf>
    <xf numFmtId="0" fontId="6" fillId="8" borderId="0" xfId="0" applyFont="1" applyFill="1" applyAlignment="1">
      <alignment horizontal="left" vertical="center" wrapText="1"/>
    </xf>
    <xf numFmtId="14" fontId="6" fillId="8" borderId="0" xfId="0" applyNumberFormat="1" applyFont="1" applyFill="1" applyAlignment="1">
      <alignment horizontal="left" vertical="center" wrapText="1"/>
    </xf>
    <xf numFmtId="0" fontId="6" fillId="8" borderId="0" xfId="0" applyFont="1" applyFill="1" applyAlignment="1">
      <alignment horizontal="left" vertical="center"/>
    </xf>
    <xf numFmtId="3" fontId="0" fillId="2" borderId="0" xfId="0" applyNumberFormat="1" applyFill="1"/>
    <xf numFmtId="3" fontId="14" fillId="8" borderId="0" xfId="0" applyNumberFormat="1" applyFont="1" applyFill="1" applyAlignment="1">
      <alignment horizontal="center" vertical="center"/>
    </xf>
    <xf numFmtId="10" fontId="6" fillId="11" borderId="0" xfId="0" applyNumberFormat="1" applyFont="1" applyFill="1" applyAlignment="1">
      <alignment horizontal="left" vertical="center" wrapText="1"/>
    </xf>
    <xf numFmtId="38" fontId="14" fillId="8" borderId="0" xfId="0" applyNumberFormat="1" applyFont="1" applyFill="1" applyAlignment="1">
      <alignment horizontal="center" vertical="center"/>
    </xf>
    <xf numFmtId="10" fontId="6" fillId="12" borderId="0" xfId="0" applyNumberFormat="1" applyFont="1" applyFill="1" applyAlignment="1">
      <alignment horizontal="left" vertical="center" wrapText="1"/>
    </xf>
    <xf numFmtId="10" fontId="18" fillId="8" borderId="0" xfId="0" applyNumberFormat="1" applyFont="1" applyFill="1" applyAlignment="1">
      <alignment horizontal="center" vertical="center"/>
    </xf>
    <xf numFmtId="10" fontId="6" fillId="13" borderId="0" xfId="0" applyNumberFormat="1"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autoTitleDeleted val="1"/>
    <c:plotArea>
      <c:layout/>
      <c:barChart>
        <c:barDir val="col"/>
        <c:grouping val="clustered"/>
        <c:varyColors val="0"/>
        <c:ser>
          <c:idx val="0"/>
          <c:order val="0"/>
          <c:tx>
            <c:v>Participación 2024</c:v>
          </c:tx>
          <c:invertIfNegative val="1"/>
          <c:cat>
            <c:strRef>
              <c:f>'E5 Guatemala'!$B$15:$B$19</c:f>
              <c:strCache>
                <c:ptCount val="5"/>
                <c:pt idx="0">
                  <c:v>Agricultura, ganadería, silvicultura y pesca</c:v>
                </c:pt>
                <c:pt idx="1">
                  <c:v>Industrias manufactureras</c:v>
                </c:pt>
                <c:pt idx="2">
                  <c:v>Construcción</c:v>
                </c:pt>
                <c:pt idx="3">
                  <c:v>Comercio y reparación de vehículos</c:v>
                </c:pt>
                <c:pt idx="4">
                  <c:v>Actividad seleccionada por el estudiante</c:v>
                </c:pt>
              </c:strCache>
            </c:strRef>
          </c:cat>
          <c:val>
            <c:numRef>
              <c:f>'E5 Guatemala'!$F$15:$F$19</c:f>
              <c:numCache>
                <c:formatCode>0.00%</c:formatCode>
                <c:ptCount val="5"/>
                <c:pt idx="0">
                  <c:v>9.6580623311218985E-2</c:v>
                </c:pt>
                <c:pt idx="1">
                  <c:v>0.13539244139118359</c:v>
                </c:pt>
                <c:pt idx="2">
                  <c:v>5.4395397925477637E-2</c:v>
                </c:pt>
                <c:pt idx="3">
                  <c:v>0.21279321479890023</c:v>
                </c:pt>
                <c:pt idx="4">
                  <c:v>4.449318389343232E-2</c:v>
                </c:pt>
              </c:numCache>
            </c:numRef>
          </c:val>
          <c:extLst>
            <c:ext xmlns:c16="http://schemas.microsoft.com/office/drawing/2014/chart" uri="{C3380CC4-5D6E-409C-BE32-E72D297353CC}">
              <c16:uniqueId val="{00000000-8940-2748-A4BA-98395B61293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23812</xdr:colOff>
      <xdr:row>29</xdr:row>
      <xdr:rowOff>9525</xdr:rowOff>
    </xdr:from>
    <xdr:ext cx="2190087" cy="172227"/>
    <mc:AlternateContent xmlns:mc="http://schemas.openxmlformats.org/markup-compatibility/2006">
      <mc:Choice xmlns:a14="http://schemas.microsoft.com/office/drawing/2010/main" Requires="a14">
        <xdr:sp macro="" textlink="">
          <xdr:nvSpPr>
            <xdr:cNvPr id="2" name="CuadroTexto 1">
              <a:extLst>
                <a:ext uri="{FF2B5EF4-FFF2-40B4-BE49-F238E27FC236}">
                  <a16:creationId xmlns:a16="http://schemas.microsoft.com/office/drawing/2014/main" id="{B74315DF-2F8E-0A3C-9406-167930E9DD38}"/>
                </a:ext>
              </a:extLst>
            </xdr:cNvPr>
            <xdr:cNvSpPr txBox="1"/>
          </xdr:nvSpPr>
          <xdr:spPr>
            <a:xfrm>
              <a:off x="252412" y="7600950"/>
              <a:ext cx="219008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
                    <m:r>
                      <a:rPr lang="es-GT" sz="1100" b="0" i="1">
                        <a:latin typeface="Cambria Math" panose="02040503050406030204" pitchFamily="18" charset="0"/>
                      </a:rPr>
                      <m:t>𝐴𝑔𝑟𝑖𝑐𝑢𝑙𝑡𝑢𝑟𝑎</m:t>
                    </m:r>
                    <m:r>
                      <a:rPr lang="es-GT" sz="1100" b="0" i="1">
                        <a:latin typeface="Cambria Math" panose="02040503050406030204" pitchFamily="18" charset="0"/>
                      </a:rPr>
                      <m:t>=1650−620=1030</m:t>
                    </m:r>
                  </m:oMath>
                </m:oMathPara>
              </a14:m>
              <a:endParaRPr lang="es-GT" sz="1100"/>
            </a:p>
          </xdr:txBody>
        </xdr:sp>
      </mc:Choice>
      <mc:Fallback>
        <xdr:sp macro="" textlink="">
          <xdr:nvSpPr>
            <xdr:cNvPr id="2" name="CuadroTexto 1">
              <a:extLst>
                <a:ext uri="{FF2B5EF4-FFF2-40B4-BE49-F238E27FC236}">
                  <a16:creationId xmlns:a16="http://schemas.microsoft.com/office/drawing/2014/main" id="{B74315DF-2F8E-0A3C-9406-167930E9DD38}"/>
                </a:ext>
              </a:extLst>
            </xdr:cNvPr>
            <xdr:cNvSpPr txBox="1"/>
          </xdr:nvSpPr>
          <xdr:spPr>
            <a:xfrm>
              <a:off x="252412" y="7600950"/>
              <a:ext cx="219008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GT" sz="1100" b="0" i="0">
                  <a:latin typeface="Cambria Math" panose="02040503050406030204" pitchFamily="18" charset="0"/>
                </a:rPr>
                <a:t>𝐴𝑔𝑟𝑖𝑐𝑢𝑙𝑡𝑢𝑟𝑎=1650−620=1030</a:t>
              </a:r>
              <a:endParaRPr lang="es-GT" sz="1100"/>
            </a:p>
          </xdr:txBody>
        </xdr:sp>
      </mc:Fallback>
    </mc:AlternateContent>
    <xdr:clientData/>
  </xdr:oneCellAnchor>
  <xdr:oneCellAnchor>
    <xdr:from>
      <xdr:col>1</xdr:col>
      <xdr:colOff>14287</xdr:colOff>
      <xdr:row>30</xdr:row>
      <xdr:rowOff>28575</xdr:rowOff>
    </xdr:from>
    <xdr:ext cx="3260123" cy="172227"/>
    <mc:AlternateContent xmlns:mc="http://schemas.openxmlformats.org/markup-compatibility/2006">
      <mc:Choice xmlns:a14="http://schemas.microsoft.com/office/drawing/2010/main" Requires="a14">
        <xdr:sp macro="" textlink="">
          <xdr:nvSpPr>
            <xdr:cNvPr id="3" name="CuadroTexto 2">
              <a:extLst>
                <a:ext uri="{FF2B5EF4-FFF2-40B4-BE49-F238E27FC236}">
                  <a16:creationId xmlns:a16="http://schemas.microsoft.com/office/drawing/2014/main" id="{69B332F8-F3EE-B02B-3F3D-D778CE46D6B5}"/>
                </a:ext>
              </a:extLst>
            </xdr:cNvPr>
            <xdr:cNvSpPr txBox="1"/>
          </xdr:nvSpPr>
          <xdr:spPr>
            <a:xfrm>
              <a:off x="242887" y="7800975"/>
              <a:ext cx="326012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
                    <m:r>
                      <a:rPr lang="es-GT" sz="1100" b="0" i="1">
                        <a:latin typeface="Cambria Math" panose="02040503050406030204" pitchFamily="18" charset="0"/>
                      </a:rPr>
                      <m:t>𝐼𝑛𝑑𝑢𝑠𝑡𝑟𝑖𝑎𝑙</m:t>
                    </m:r>
                    <m:r>
                      <a:rPr lang="es-GT" sz="1100" b="0" i="1">
                        <a:latin typeface="Cambria Math" panose="02040503050406030204" pitchFamily="18" charset="0"/>
                      </a:rPr>
                      <m:t> </m:t>
                    </m:r>
                    <m:r>
                      <a:rPr lang="es-GT" sz="1100" b="0" i="1">
                        <a:latin typeface="Cambria Math" panose="02040503050406030204" pitchFamily="18" charset="0"/>
                      </a:rPr>
                      <m:t>𝑚𝑎𝑛𝑢𝑓𝑎𝑐𝑡𝑢𝑟𝑒𝑟𝑎𝑠</m:t>
                    </m:r>
                    <m:r>
                      <a:rPr lang="es-GT" sz="1100" b="0" i="1">
                        <a:latin typeface="Cambria Math" panose="02040503050406030204" pitchFamily="18" charset="0"/>
                      </a:rPr>
                      <m:t>=2900−1750=1150</m:t>
                    </m:r>
                  </m:oMath>
                </m:oMathPara>
              </a14:m>
              <a:endParaRPr lang="es-GT" sz="1100"/>
            </a:p>
          </xdr:txBody>
        </xdr:sp>
      </mc:Choice>
      <mc:Fallback>
        <xdr:sp macro="" textlink="">
          <xdr:nvSpPr>
            <xdr:cNvPr id="3" name="CuadroTexto 2">
              <a:extLst>
                <a:ext uri="{FF2B5EF4-FFF2-40B4-BE49-F238E27FC236}">
                  <a16:creationId xmlns:a16="http://schemas.microsoft.com/office/drawing/2014/main" id="{69B332F8-F3EE-B02B-3F3D-D778CE46D6B5}"/>
                </a:ext>
              </a:extLst>
            </xdr:cNvPr>
            <xdr:cNvSpPr txBox="1"/>
          </xdr:nvSpPr>
          <xdr:spPr>
            <a:xfrm>
              <a:off x="242887" y="7800975"/>
              <a:ext cx="326012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GT" sz="1100" b="0" i="0">
                  <a:latin typeface="Cambria Math" panose="02040503050406030204" pitchFamily="18" charset="0"/>
                </a:rPr>
                <a:t>𝐼𝑛𝑑𝑢𝑠𝑡𝑟𝑖𝑎𝑙 𝑚𝑎𝑛𝑢𝑓𝑎𝑐𝑡𝑢𝑟𝑒𝑟𝑎𝑠=2900−1750=1150</a:t>
              </a:r>
              <a:endParaRPr lang="es-GT" sz="1100"/>
            </a:p>
          </xdr:txBody>
        </xdr:sp>
      </mc:Fallback>
    </mc:AlternateContent>
    <xdr:clientData/>
  </xdr:oneCellAnchor>
  <xdr:oneCellAnchor>
    <xdr:from>
      <xdr:col>1</xdr:col>
      <xdr:colOff>4762</xdr:colOff>
      <xdr:row>31</xdr:row>
      <xdr:rowOff>47625</xdr:rowOff>
    </xdr:from>
    <xdr:ext cx="2190280" cy="172227"/>
    <mc:AlternateContent xmlns:mc="http://schemas.openxmlformats.org/markup-compatibility/2006">
      <mc:Choice xmlns:a14="http://schemas.microsoft.com/office/drawing/2010/main" Requires="a14">
        <xdr:sp macro="" textlink="">
          <xdr:nvSpPr>
            <xdr:cNvPr id="4" name="CuadroTexto 3">
              <a:extLst>
                <a:ext uri="{FF2B5EF4-FFF2-40B4-BE49-F238E27FC236}">
                  <a16:creationId xmlns:a16="http://schemas.microsoft.com/office/drawing/2014/main" id="{2A5FB152-D66E-4769-45BC-605F3414060E}"/>
                </a:ext>
              </a:extLst>
            </xdr:cNvPr>
            <xdr:cNvSpPr txBox="1"/>
          </xdr:nvSpPr>
          <xdr:spPr>
            <a:xfrm>
              <a:off x="233362" y="8001000"/>
              <a:ext cx="219028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
                    <m:r>
                      <a:rPr lang="es-GT" sz="1100" b="0" i="1">
                        <a:latin typeface="Cambria Math" panose="02040503050406030204" pitchFamily="18" charset="0"/>
                      </a:rPr>
                      <m:t>𝐶𝑜𝑛𝑠𝑡𝑟𝑢𝑐𝑐𝑖</m:t>
                    </m:r>
                    <m:r>
                      <a:rPr lang="es-GT" sz="1100" b="0" i="1">
                        <a:latin typeface="Cambria Math" panose="02040503050406030204" pitchFamily="18" charset="0"/>
                      </a:rPr>
                      <m:t>ó</m:t>
                    </m:r>
                    <m:r>
                      <a:rPr lang="es-GT" sz="1100" b="0" i="1">
                        <a:latin typeface="Cambria Math" panose="02040503050406030204" pitchFamily="18" charset="0"/>
                      </a:rPr>
                      <m:t>𝑛</m:t>
                    </m:r>
                    <m:r>
                      <a:rPr lang="es-GT" sz="1100" b="0" i="1">
                        <a:latin typeface="Cambria Math" panose="02040503050406030204" pitchFamily="18" charset="0"/>
                      </a:rPr>
                      <m:t>=1250−720=530</m:t>
                    </m:r>
                  </m:oMath>
                </m:oMathPara>
              </a14:m>
              <a:endParaRPr lang="es-GT" sz="1100"/>
            </a:p>
          </xdr:txBody>
        </xdr:sp>
      </mc:Choice>
      <mc:Fallback>
        <xdr:sp macro="" textlink="">
          <xdr:nvSpPr>
            <xdr:cNvPr id="4" name="CuadroTexto 3">
              <a:extLst>
                <a:ext uri="{FF2B5EF4-FFF2-40B4-BE49-F238E27FC236}">
                  <a16:creationId xmlns:a16="http://schemas.microsoft.com/office/drawing/2014/main" id="{2A5FB152-D66E-4769-45BC-605F3414060E}"/>
                </a:ext>
              </a:extLst>
            </xdr:cNvPr>
            <xdr:cNvSpPr txBox="1"/>
          </xdr:nvSpPr>
          <xdr:spPr>
            <a:xfrm>
              <a:off x="233362" y="8001000"/>
              <a:ext cx="219028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GT" sz="1100" b="0" i="0">
                  <a:latin typeface="Cambria Math" panose="02040503050406030204" pitchFamily="18" charset="0"/>
                </a:rPr>
                <a:t>𝐶𝑜𝑛𝑠𝑡𝑟𝑢𝑐𝑐𝑖ó𝑛=1250−720=530</a:t>
              </a:r>
              <a:endParaRPr lang="es-GT" sz="1100"/>
            </a:p>
          </xdr:txBody>
        </xdr:sp>
      </mc:Fallback>
    </mc:AlternateContent>
    <xdr:clientData/>
  </xdr:oneCellAnchor>
  <xdr:oneCellAnchor>
    <xdr:from>
      <xdr:col>1</xdr:col>
      <xdr:colOff>4762</xdr:colOff>
      <xdr:row>32</xdr:row>
      <xdr:rowOff>104775</xdr:rowOff>
    </xdr:from>
    <xdr:ext cx="3199017" cy="172227"/>
    <mc:AlternateContent xmlns:mc="http://schemas.openxmlformats.org/markup-compatibility/2006">
      <mc:Choice xmlns:a14="http://schemas.microsoft.com/office/drawing/2010/main" Requires="a14">
        <xdr:sp macro="" textlink="">
          <xdr:nvSpPr>
            <xdr:cNvPr id="5" name="CuadroTexto 4">
              <a:extLst>
                <a:ext uri="{FF2B5EF4-FFF2-40B4-BE49-F238E27FC236}">
                  <a16:creationId xmlns:a16="http://schemas.microsoft.com/office/drawing/2014/main" id="{08F248E8-328B-17F2-E078-74205D0FB436}"/>
                </a:ext>
              </a:extLst>
            </xdr:cNvPr>
            <xdr:cNvSpPr txBox="1"/>
          </xdr:nvSpPr>
          <xdr:spPr>
            <a:xfrm>
              <a:off x="233362" y="8239125"/>
              <a:ext cx="319901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
                    <m:r>
                      <a:rPr lang="es-GT" sz="1100" b="0" i="1">
                        <a:latin typeface="Cambria Math" panose="02040503050406030204" pitchFamily="18" charset="0"/>
                      </a:rPr>
                      <m:t>𝐶𝑜𝑚𝑒𝑟𝑐𝑖𝑜</m:t>
                    </m:r>
                    <m:r>
                      <a:rPr lang="es-GT" sz="1100" b="0" i="1">
                        <a:latin typeface="Cambria Math" panose="02040503050406030204" pitchFamily="18" charset="0"/>
                      </a:rPr>
                      <m:t> </m:t>
                    </m:r>
                    <m:r>
                      <a:rPr lang="es-GT" sz="1100" b="0" i="1">
                        <a:latin typeface="Cambria Math" panose="02040503050406030204" pitchFamily="18" charset="0"/>
                      </a:rPr>
                      <m:t>𝑦</m:t>
                    </m:r>
                    <m:r>
                      <a:rPr lang="es-GT" sz="1100" b="0" i="1">
                        <a:latin typeface="Cambria Math" panose="02040503050406030204" pitchFamily="18" charset="0"/>
                      </a:rPr>
                      <m:t> </m:t>
                    </m:r>
                    <m:r>
                      <a:rPr lang="es-GT" sz="1100" b="0" i="1">
                        <a:latin typeface="Cambria Math" panose="02040503050406030204" pitchFamily="18" charset="0"/>
                      </a:rPr>
                      <m:t>𝑜𝑡𝑟𝑜𝑠</m:t>
                    </m:r>
                    <m:r>
                      <a:rPr lang="es-GT" sz="1100" b="0" i="1">
                        <a:latin typeface="Cambria Math" panose="02040503050406030204" pitchFamily="18" charset="0"/>
                      </a:rPr>
                      <m:t> </m:t>
                    </m:r>
                    <m:r>
                      <a:rPr lang="es-GT" sz="1100" b="0" i="1">
                        <a:latin typeface="Cambria Math" panose="02040503050406030204" pitchFamily="18" charset="0"/>
                      </a:rPr>
                      <m:t>𝑠𝑒𝑟𝑣𝑖𝑐𝑖𝑜𝑠</m:t>
                    </m:r>
                    <m:r>
                      <a:rPr lang="es-GT" sz="1100" b="0" i="1">
                        <a:latin typeface="Cambria Math" panose="02040503050406030204" pitchFamily="18" charset="0"/>
                      </a:rPr>
                      <m:t>=2400−1050=1350</m:t>
                    </m:r>
                  </m:oMath>
                </m:oMathPara>
              </a14:m>
              <a:endParaRPr lang="es-GT" sz="1100"/>
            </a:p>
          </xdr:txBody>
        </xdr:sp>
      </mc:Choice>
      <mc:Fallback>
        <xdr:sp macro="" textlink="">
          <xdr:nvSpPr>
            <xdr:cNvPr id="5" name="CuadroTexto 4">
              <a:extLst>
                <a:ext uri="{FF2B5EF4-FFF2-40B4-BE49-F238E27FC236}">
                  <a16:creationId xmlns:a16="http://schemas.microsoft.com/office/drawing/2014/main" id="{08F248E8-328B-17F2-E078-74205D0FB436}"/>
                </a:ext>
              </a:extLst>
            </xdr:cNvPr>
            <xdr:cNvSpPr txBox="1"/>
          </xdr:nvSpPr>
          <xdr:spPr>
            <a:xfrm>
              <a:off x="233362" y="8239125"/>
              <a:ext cx="319901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GT" sz="1100" b="0" i="0">
                  <a:latin typeface="Cambria Math" panose="02040503050406030204" pitchFamily="18" charset="0"/>
                </a:rPr>
                <a:t>𝐶𝑜𝑚𝑒𝑟𝑐𝑖𝑜 𝑦 𝑜𝑡𝑟𝑜𝑠 𝑠𝑒𝑟𝑣𝑖𝑐𝑖𝑜𝑠=2400−1050=1350</a:t>
              </a:r>
              <a:endParaRPr lang="es-GT" sz="1100"/>
            </a:p>
          </xdr:txBody>
        </xdr:sp>
      </mc:Fallback>
    </mc:AlternateContent>
    <xdr:clientData/>
  </xdr:oneCellAnchor>
  <xdr:oneCellAnchor>
    <xdr:from>
      <xdr:col>3</xdr:col>
      <xdr:colOff>204787</xdr:colOff>
      <xdr:row>29</xdr:row>
      <xdr:rowOff>47625</xdr:rowOff>
    </xdr:from>
    <xdr:ext cx="2914196" cy="172227"/>
    <mc:AlternateContent xmlns:mc="http://schemas.openxmlformats.org/markup-compatibility/2006">
      <mc:Choice xmlns:a14="http://schemas.microsoft.com/office/drawing/2010/main" Requires="a14">
        <xdr:sp macro="" textlink="">
          <xdr:nvSpPr>
            <xdr:cNvPr id="6" name="CuadroTexto 5">
              <a:extLst>
                <a:ext uri="{FF2B5EF4-FFF2-40B4-BE49-F238E27FC236}">
                  <a16:creationId xmlns:a16="http://schemas.microsoft.com/office/drawing/2014/main" id="{28BADFBB-269B-3D0F-3DB7-79F76DBD26D4}"/>
                </a:ext>
              </a:extLst>
            </xdr:cNvPr>
            <xdr:cNvSpPr txBox="1"/>
          </xdr:nvSpPr>
          <xdr:spPr>
            <a:xfrm>
              <a:off x="3862387" y="7639050"/>
              <a:ext cx="291419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
                    <m:r>
                      <a:rPr lang="es-GT" sz="1100" b="0" i="1">
                        <a:latin typeface="Cambria Math" panose="02040503050406030204" pitchFamily="18" charset="0"/>
                      </a:rPr>
                      <m:t>𝑉𝐴</m:t>
                    </m:r>
                    <m:sSub>
                      <m:sSubPr>
                        <m:ctrlPr>
                          <a:rPr lang="es-GT" sz="1100" b="0" i="1">
                            <a:latin typeface="Cambria Math" panose="02040503050406030204" pitchFamily="18" charset="0"/>
                          </a:rPr>
                        </m:ctrlPr>
                      </m:sSubPr>
                      <m:e>
                        <m:r>
                          <a:rPr lang="es-GT" sz="1100" b="0" i="1">
                            <a:latin typeface="Cambria Math" panose="02040503050406030204" pitchFamily="18" charset="0"/>
                          </a:rPr>
                          <m:t>𝐵</m:t>
                        </m:r>
                      </m:e>
                      <m:sub>
                        <m:r>
                          <a:rPr lang="es-GT" sz="1100" b="0" i="1">
                            <a:latin typeface="Cambria Math" panose="02040503050406030204" pitchFamily="18" charset="0"/>
                          </a:rPr>
                          <m:t>𝑡𝑜𝑡𝑎𝑙</m:t>
                        </m:r>
                      </m:sub>
                    </m:sSub>
                    <m:r>
                      <a:rPr lang="es-GT" sz="1100" b="0" i="1">
                        <a:latin typeface="Cambria Math" panose="02040503050406030204" pitchFamily="18" charset="0"/>
                      </a:rPr>
                      <m:t>=1030+1150+530+1350=4060</m:t>
                    </m:r>
                  </m:oMath>
                </m:oMathPara>
              </a14:m>
              <a:endParaRPr lang="es-GT" sz="1100"/>
            </a:p>
          </xdr:txBody>
        </xdr:sp>
      </mc:Choice>
      <mc:Fallback>
        <xdr:sp macro="" textlink="">
          <xdr:nvSpPr>
            <xdr:cNvPr id="6" name="CuadroTexto 5">
              <a:extLst>
                <a:ext uri="{FF2B5EF4-FFF2-40B4-BE49-F238E27FC236}">
                  <a16:creationId xmlns:a16="http://schemas.microsoft.com/office/drawing/2014/main" id="{28BADFBB-269B-3D0F-3DB7-79F76DBD26D4}"/>
                </a:ext>
              </a:extLst>
            </xdr:cNvPr>
            <xdr:cNvSpPr txBox="1"/>
          </xdr:nvSpPr>
          <xdr:spPr>
            <a:xfrm>
              <a:off x="3862387" y="7639050"/>
              <a:ext cx="291419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GT" sz="1100" b="0" i="0">
                  <a:latin typeface="Cambria Math" panose="02040503050406030204" pitchFamily="18" charset="0"/>
                </a:rPr>
                <a:t>𝑉𝐴𝐵_𝑡𝑜𝑡𝑎𝑙=1030+1150+530+1350=4060</a:t>
              </a:r>
              <a:endParaRPr lang="es-GT" sz="1100"/>
            </a:p>
          </xdr:txBody>
        </xdr:sp>
      </mc:Fallback>
    </mc:AlternateContent>
    <xdr:clientData/>
  </xdr:oneCellAnchor>
  <xdr:oneCellAnchor>
    <xdr:from>
      <xdr:col>3</xdr:col>
      <xdr:colOff>80962</xdr:colOff>
      <xdr:row>30</xdr:row>
      <xdr:rowOff>85725</xdr:rowOff>
    </xdr:from>
    <xdr:ext cx="4757520" cy="172227"/>
    <mc:AlternateContent xmlns:mc="http://schemas.openxmlformats.org/markup-compatibility/2006">
      <mc:Choice xmlns:a14="http://schemas.microsoft.com/office/drawing/2010/main" Requires="a14">
        <xdr:sp macro="" textlink="">
          <xdr:nvSpPr>
            <xdr:cNvPr id="7" name="CuadroTexto 6">
              <a:extLst>
                <a:ext uri="{FF2B5EF4-FFF2-40B4-BE49-F238E27FC236}">
                  <a16:creationId xmlns:a16="http://schemas.microsoft.com/office/drawing/2014/main" id="{B348440F-9B96-A99B-EBE9-119C9FB05C9B}"/>
                </a:ext>
              </a:extLst>
            </xdr:cNvPr>
            <xdr:cNvSpPr txBox="1"/>
          </xdr:nvSpPr>
          <xdr:spPr>
            <a:xfrm>
              <a:off x="3738562" y="7858125"/>
              <a:ext cx="475752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
                    <m:r>
                      <a:rPr lang="es-GT" sz="1100" b="0" i="1">
                        <a:latin typeface="Cambria Math" panose="02040503050406030204" pitchFamily="18" charset="0"/>
                      </a:rPr>
                      <m:t>𝐼𝑚𝑝𝑢𝑒𝑠𝑡𝑜𝑠</m:t>
                    </m:r>
                    <m:r>
                      <a:rPr lang="es-GT" sz="1100" b="0" i="1">
                        <a:latin typeface="Cambria Math" panose="02040503050406030204" pitchFamily="18" charset="0"/>
                      </a:rPr>
                      <m:t> </m:t>
                    </m:r>
                    <m:r>
                      <a:rPr lang="es-GT" sz="1100" b="0" i="1">
                        <a:latin typeface="Cambria Math" panose="02040503050406030204" pitchFamily="18" charset="0"/>
                      </a:rPr>
                      <m:t>𝑛𝑒𝑡𝑜𝑠</m:t>
                    </m:r>
                    <m:r>
                      <a:rPr lang="es-GT" sz="1100" b="0" i="1">
                        <a:latin typeface="Cambria Math" panose="02040503050406030204" pitchFamily="18" charset="0"/>
                      </a:rPr>
                      <m:t>=</m:t>
                    </m:r>
                    <m:r>
                      <a:rPr lang="es-GT" sz="1100" b="0" i="1">
                        <a:latin typeface="Cambria Math" panose="02040503050406030204" pitchFamily="18" charset="0"/>
                      </a:rPr>
                      <m:t>𝐼𝑚𝑝𝑢𝑒𝑠𝑡𝑜𝑠</m:t>
                    </m:r>
                    <m:r>
                      <a:rPr lang="es-GT" sz="1100" b="0" i="1">
                        <a:latin typeface="Cambria Math" panose="02040503050406030204" pitchFamily="18" charset="0"/>
                      </a:rPr>
                      <m:t> −</m:t>
                    </m:r>
                    <m:r>
                      <a:rPr lang="es-GT" sz="1100" b="0" i="1">
                        <a:latin typeface="Cambria Math" panose="02040503050406030204" pitchFamily="18" charset="0"/>
                      </a:rPr>
                      <m:t>𝑆𝑢𝑏𝑣𝑒𝑛𝑐𝑖𝑜𝑛𝑒𝑠</m:t>
                    </m:r>
                    <m:r>
                      <a:rPr lang="es-GT" sz="1100" b="0" i="1">
                        <a:latin typeface="Cambria Math" panose="02040503050406030204" pitchFamily="18" charset="0"/>
                      </a:rPr>
                      <m:t> =420−40=380 </m:t>
                    </m:r>
                    <m:r>
                      <a:rPr lang="es-GT" sz="1100" b="0" i="1">
                        <a:latin typeface="Cambria Math" panose="02040503050406030204" pitchFamily="18" charset="0"/>
                      </a:rPr>
                      <m:t>𝑚𝑖𝑙𝑙𝑜𝑛𝑒𝑠</m:t>
                    </m:r>
                    <m:r>
                      <a:rPr lang="es-GT" sz="1100" b="0" i="1">
                        <a:latin typeface="Cambria Math" panose="02040503050406030204" pitchFamily="18" charset="0"/>
                      </a:rPr>
                      <m:t> </m:t>
                    </m:r>
                  </m:oMath>
                </m:oMathPara>
              </a14:m>
              <a:endParaRPr lang="es-GT" sz="1100"/>
            </a:p>
          </xdr:txBody>
        </xdr:sp>
      </mc:Choice>
      <mc:Fallback>
        <xdr:sp macro="" textlink="">
          <xdr:nvSpPr>
            <xdr:cNvPr id="7" name="CuadroTexto 6">
              <a:extLst>
                <a:ext uri="{FF2B5EF4-FFF2-40B4-BE49-F238E27FC236}">
                  <a16:creationId xmlns:a16="http://schemas.microsoft.com/office/drawing/2014/main" id="{B348440F-9B96-A99B-EBE9-119C9FB05C9B}"/>
                </a:ext>
              </a:extLst>
            </xdr:cNvPr>
            <xdr:cNvSpPr txBox="1"/>
          </xdr:nvSpPr>
          <xdr:spPr>
            <a:xfrm>
              <a:off x="3738562" y="7858125"/>
              <a:ext cx="475752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GT" sz="1100" b="0" i="0">
                  <a:latin typeface="Cambria Math" panose="02040503050406030204" pitchFamily="18" charset="0"/>
                </a:rPr>
                <a:t>𝐼𝑚𝑝𝑢𝑒𝑠𝑡𝑜𝑠 𝑛𝑒𝑡𝑜𝑠=𝐼𝑚𝑝𝑢𝑒𝑠𝑡𝑜𝑠 −𝑆𝑢𝑏𝑣𝑒𝑛𝑐𝑖𝑜𝑛𝑒𝑠 =420−40=380 𝑚𝑖𝑙𝑙𝑜𝑛𝑒𝑠 </a:t>
              </a:r>
              <a:endParaRPr lang="es-GT" sz="1100"/>
            </a:p>
          </xdr:txBody>
        </xdr:sp>
      </mc:Fallback>
    </mc:AlternateContent>
    <xdr:clientData/>
  </xdr:oneCellAnchor>
  <xdr:oneCellAnchor>
    <xdr:from>
      <xdr:col>3</xdr:col>
      <xdr:colOff>14287</xdr:colOff>
      <xdr:row>31</xdr:row>
      <xdr:rowOff>142875</xdr:rowOff>
    </xdr:from>
    <xdr:ext cx="5450082" cy="172227"/>
    <mc:AlternateContent xmlns:mc="http://schemas.openxmlformats.org/markup-compatibility/2006">
      <mc:Choice xmlns:a14="http://schemas.microsoft.com/office/drawing/2010/main" Requires="a14">
        <xdr:sp macro="" textlink="">
          <xdr:nvSpPr>
            <xdr:cNvPr id="8" name="CuadroTexto 7">
              <a:extLst>
                <a:ext uri="{FF2B5EF4-FFF2-40B4-BE49-F238E27FC236}">
                  <a16:creationId xmlns:a16="http://schemas.microsoft.com/office/drawing/2014/main" id="{4D754C9E-0244-D099-C7D2-74D63C68C17A}"/>
                </a:ext>
              </a:extLst>
            </xdr:cNvPr>
            <xdr:cNvSpPr txBox="1"/>
          </xdr:nvSpPr>
          <xdr:spPr>
            <a:xfrm>
              <a:off x="3671887" y="8096250"/>
              <a:ext cx="545008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
                    <m:r>
                      <a:rPr lang="es-GT" sz="1100" b="0" i="1">
                        <a:latin typeface="Cambria Math" panose="02040503050406030204" pitchFamily="18" charset="0"/>
                      </a:rPr>
                      <m:t>𝑃𝐼𝐵</m:t>
                    </m:r>
                    <m:r>
                      <a:rPr lang="es-GT" sz="1100" b="0" i="1">
                        <a:latin typeface="Cambria Math" panose="02040503050406030204" pitchFamily="18" charset="0"/>
                      </a:rPr>
                      <m:t>=</m:t>
                    </m:r>
                    <m:r>
                      <a:rPr lang="es-GT" sz="1100" b="0" i="1">
                        <a:latin typeface="Cambria Math" panose="02040503050406030204" pitchFamily="18" charset="0"/>
                      </a:rPr>
                      <m:t>𝑉𝐴</m:t>
                    </m:r>
                    <m:sSub>
                      <m:sSubPr>
                        <m:ctrlPr>
                          <a:rPr lang="es-GT" sz="1100" b="0" i="1">
                            <a:latin typeface="Cambria Math" panose="02040503050406030204" pitchFamily="18" charset="0"/>
                          </a:rPr>
                        </m:ctrlPr>
                      </m:sSubPr>
                      <m:e>
                        <m:r>
                          <a:rPr lang="es-GT" sz="1100" b="0" i="1">
                            <a:latin typeface="Cambria Math" panose="02040503050406030204" pitchFamily="18" charset="0"/>
                          </a:rPr>
                          <m:t>𝐵</m:t>
                        </m:r>
                      </m:e>
                      <m:sub>
                        <m:r>
                          <a:rPr lang="es-GT" sz="1100" b="0" i="1">
                            <a:latin typeface="Cambria Math" panose="02040503050406030204" pitchFamily="18" charset="0"/>
                          </a:rPr>
                          <m:t>𝑡𝑜𝑡𝑎𝑙</m:t>
                        </m:r>
                      </m:sub>
                    </m:sSub>
                    <m:r>
                      <a:rPr lang="es-GT" sz="1100" b="0" i="1">
                        <a:latin typeface="Cambria Math" panose="02040503050406030204" pitchFamily="18" charset="0"/>
                      </a:rPr>
                      <m:t>+</m:t>
                    </m:r>
                    <m:r>
                      <a:rPr lang="es-GT" sz="1100" b="0" i="1">
                        <a:latin typeface="Cambria Math" panose="02040503050406030204" pitchFamily="18" charset="0"/>
                      </a:rPr>
                      <m:t>𝐼𝑚𝑝𝑢𝑒𝑠𝑡𝑜𝑠</m:t>
                    </m:r>
                    <m:r>
                      <a:rPr lang="es-GT" sz="1100" b="0" i="1">
                        <a:latin typeface="Cambria Math" panose="02040503050406030204" pitchFamily="18" charset="0"/>
                      </a:rPr>
                      <m:t> </m:t>
                    </m:r>
                    <m:r>
                      <a:rPr lang="es-GT" sz="1100" b="0" i="1">
                        <a:latin typeface="Cambria Math" panose="02040503050406030204" pitchFamily="18" charset="0"/>
                      </a:rPr>
                      <m:t>𝑛𝑒𝑡𝑜𝑠</m:t>
                    </m:r>
                    <m:r>
                      <a:rPr lang="es-GT" sz="1100" b="0" i="1">
                        <a:latin typeface="Cambria Math" panose="02040503050406030204" pitchFamily="18" charset="0"/>
                      </a:rPr>
                      <m:t> </m:t>
                    </m:r>
                    <m:r>
                      <a:rPr lang="es-GT" sz="1100" b="0" i="1">
                        <a:latin typeface="Cambria Math" panose="02040503050406030204" pitchFamily="18" charset="0"/>
                      </a:rPr>
                      <m:t>𝑠𝑜𝑏𝑟𝑒</m:t>
                    </m:r>
                    <m:r>
                      <a:rPr lang="es-GT" sz="1100" b="0" i="1">
                        <a:latin typeface="Cambria Math" panose="02040503050406030204" pitchFamily="18" charset="0"/>
                      </a:rPr>
                      <m:t> </m:t>
                    </m:r>
                    <m:r>
                      <a:rPr lang="es-GT" sz="1100" b="0" i="1">
                        <a:latin typeface="Cambria Math" panose="02040503050406030204" pitchFamily="18" charset="0"/>
                      </a:rPr>
                      <m:t>𝑙𝑜𝑠</m:t>
                    </m:r>
                    <m:r>
                      <a:rPr lang="es-GT" sz="1100" b="0" i="1">
                        <a:latin typeface="Cambria Math" panose="02040503050406030204" pitchFamily="18" charset="0"/>
                      </a:rPr>
                      <m:t> </m:t>
                    </m:r>
                    <m:r>
                      <a:rPr lang="es-GT" sz="1100" b="0" i="1">
                        <a:latin typeface="Cambria Math" panose="02040503050406030204" pitchFamily="18" charset="0"/>
                      </a:rPr>
                      <m:t>𝑝𝑟𝑜𝑑𝑢𝑐𝑡𝑜𝑠</m:t>
                    </m:r>
                    <m:r>
                      <a:rPr lang="es-GT" sz="1100" b="0" i="1">
                        <a:latin typeface="Cambria Math" panose="02040503050406030204" pitchFamily="18" charset="0"/>
                      </a:rPr>
                      <m:t>=4060+380=4440 </m:t>
                    </m:r>
                    <m:r>
                      <a:rPr lang="es-GT" sz="1100" b="0" i="1">
                        <a:latin typeface="Cambria Math" panose="02040503050406030204" pitchFamily="18" charset="0"/>
                      </a:rPr>
                      <m:t>𝑚𝑖𝑙𝑙𝑜𝑛𝑒𝑠</m:t>
                    </m:r>
                    <m:r>
                      <a:rPr lang="es-GT" sz="1100" b="0" i="1">
                        <a:latin typeface="Cambria Math" panose="02040503050406030204" pitchFamily="18" charset="0"/>
                      </a:rPr>
                      <m:t> </m:t>
                    </m:r>
                  </m:oMath>
                </m:oMathPara>
              </a14:m>
              <a:endParaRPr lang="es-GT" sz="1100"/>
            </a:p>
          </xdr:txBody>
        </xdr:sp>
      </mc:Choice>
      <mc:Fallback>
        <xdr:sp macro="" textlink="">
          <xdr:nvSpPr>
            <xdr:cNvPr id="8" name="CuadroTexto 7">
              <a:extLst>
                <a:ext uri="{FF2B5EF4-FFF2-40B4-BE49-F238E27FC236}">
                  <a16:creationId xmlns:a16="http://schemas.microsoft.com/office/drawing/2014/main" id="{4D754C9E-0244-D099-C7D2-74D63C68C17A}"/>
                </a:ext>
              </a:extLst>
            </xdr:cNvPr>
            <xdr:cNvSpPr txBox="1"/>
          </xdr:nvSpPr>
          <xdr:spPr>
            <a:xfrm>
              <a:off x="3671887" y="8096250"/>
              <a:ext cx="545008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GT" sz="1100" b="0" i="0">
                  <a:latin typeface="Cambria Math" panose="02040503050406030204" pitchFamily="18" charset="0"/>
                </a:rPr>
                <a:t>𝑃𝐼𝐵=𝑉𝐴𝐵_𝑡𝑜𝑡𝑎𝑙+𝐼𝑚𝑝𝑢𝑒𝑠𝑡𝑜𝑠 𝑛𝑒𝑡𝑜𝑠 𝑠𝑜𝑏𝑟𝑒 𝑙𝑜𝑠 𝑝𝑟𝑜𝑑𝑢𝑐𝑡𝑜𝑠=4060+380=4440 𝑚𝑖𝑙𝑙𝑜𝑛𝑒𝑠 </a:t>
              </a:r>
              <a:endParaRPr lang="es-GT"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2</xdr:col>
      <xdr:colOff>338137</xdr:colOff>
      <xdr:row>24</xdr:row>
      <xdr:rowOff>152400</xdr:rowOff>
    </xdr:from>
    <xdr:ext cx="2654509" cy="321498"/>
    <mc:AlternateContent xmlns:mc="http://schemas.openxmlformats.org/markup-compatibility/2006">
      <mc:Choice xmlns:a14="http://schemas.microsoft.com/office/drawing/2010/main" Requires="a14">
        <xdr:sp macro="" textlink="">
          <xdr:nvSpPr>
            <xdr:cNvPr id="2" name="CuadroTexto 1">
              <a:extLst>
                <a:ext uri="{FF2B5EF4-FFF2-40B4-BE49-F238E27FC236}">
                  <a16:creationId xmlns:a16="http://schemas.microsoft.com/office/drawing/2014/main" id="{BEB74CDF-5B85-247D-F024-3006274A0E40}"/>
                </a:ext>
              </a:extLst>
            </xdr:cNvPr>
            <xdr:cNvSpPr txBox="1"/>
          </xdr:nvSpPr>
          <xdr:spPr>
            <a:xfrm>
              <a:off x="3538537" y="6391275"/>
              <a:ext cx="2654509" cy="3214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
                    <m:r>
                      <a:rPr lang="es-GT" sz="1100" b="0" i="1">
                        <a:latin typeface="Cambria Math" panose="02040503050406030204" pitchFamily="18" charset="0"/>
                      </a:rPr>
                      <m:t>𝑃𝑎𝑟𝑡𝑖𝑐𝑖𝑝𝑎𝑐𝑖</m:t>
                    </m:r>
                    <m:r>
                      <a:rPr lang="es-GT" sz="1100" b="0" i="1">
                        <a:latin typeface="Cambria Math" panose="02040503050406030204" pitchFamily="18" charset="0"/>
                      </a:rPr>
                      <m:t>ó</m:t>
                    </m:r>
                    <m:r>
                      <a:rPr lang="es-GT" sz="1100" b="0" i="1">
                        <a:latin typeface="Cambria Math" panose="02040503050406030204" pitchFamily="18" charset="0"/>
                      </a:rPr>
                      <m:t>𝑛</m:t>
                    </m:r>
                    <m:r>
                      <a:rPr lang="es-GT" sz="1100" b="0" i="1">
                        <a:latin typeface="Cambria Math" panose="02040503050406030204" pitchFamily="18" charset="0"/>
                      </a:rPr>
                      <m:t> </m:t>
                    </m:r>
                    <m:r>
                      <a:rPr lang="es-GT" sz="1100" b="0" i="1">
                        <a:latin typeface="Cambria Math" panose="02040503050406030204" pitchFamily="18" charset="0"/>
                      </a:rPr>
                      <m:t>𝑅𝐴</m:t>
                    </m:r>
                    <m:r>
                      <a:rPr lang="es-GT" sz="1100" b="0" i="1">
                        <a:latin typeface="Cambria Math" panose="02040503050406030204" pitchFamily="18" charset="0"/>
                      </a:rPr>
                      <m:t>=</m:t>
                    </m:r>
                    <m:f>
                      <m:fPr>
                        <m:ctrlPr>
                          <a:rPr lang="es-GT" sz="1100" b="0" i="1">
                            <a:latin typeface="Cambria Math" panose="02040503050406030204" pitchFamily="18" charset="0"/>
                          </a:rPr>
                        </m:ctrlPr>
                      </m:fPr>
                      <m:num>
                        <m:r>
                          <a:rPr lang="es-GT" sz="1100" b="0" i="1">
                            <a:latin typeface="Cambria Math" panose="02040503050406030204" pitchFamily="18" charset="0"/>
                          </a:rPr>
                          <m:t>4250</m:t>
                        </m:r>
                      </m:num>
                      <m:den>
                        <m:r>
                          <a:rPr lang="es-GT" sz="1100" b="0" i="1">
                            <a:latin typeface="Cambria Math" panose="02040503050406030204" pitchFamily="18" charset="0"/>
                          </a:rPr>
                          <m:t>7820</m:t>
                        </m:r>
                      </m:den>
                    </m:f>
                    <m:r>
                      <a:rPr lang="es-GT" sz="1100" b="0" i="1">
                        <a:latin typeface="Cambria Math" panose="02040503050406030204" pitchFamily="18" charset="0"/>
                      </a:rPr>
                      <m:t> ∗100=54.35%</m:t>
                    </m:r>
                  </m:oMath>
                </m:oMathPara>
              </a14:m>
              <a:endParaRPr lang="es-GT" sz="1100"/>
            </a:p>
          </xdr:txBody>
        </xdr:sp>
      </mc:Choice>
      <mc:Fallback>
        <xdr:sp macro="" textlink="">
          <xdr:nvSpPr>
            <xdr:cNvPr id="2" name="CuadroTexto 1">
              <a:extLst>
                <a:ext uri="{FF2B5EF4-FFF2-40B4-BE49-F238E27FC236}">
                  <a16:creationId xmlns:a16="http://schemas.microsoft.com/office/drawing/2014/main" id="{BEB74CDF-5B85-247D-F024-3006274A0E40}"/>
                </a:ext>
              </a:extLst>
            </xdr:cNvPr>
            <xdr:cNvSpPr txBox="1"/>
          </xdr:nvSpPr>
          <xdr:spPr>
            <a:xfrm>
              <a:off x="3538537" y="6391275"/>
              <a:ext cx="2654509" cy="3214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GT" sz="1100" b="0" i="0">
                  <a:latin typeface="Cambria Math" panose="02040503050406030204" pitchFamily="18" charset="0"/>
                </a:rPr>
                <a:t>𝑃𝑎𝑟𝑡𝑖𝑐𝑖𝑝𝑎𝑐𝑖ó𝑛 𝑅𝐴=4250/7820  ∗100=54.35%</a:t>
              </a:r>
              <a:endParaRPr lang="es-GT" sz="1100"/>
            </a:p>
          </xdr:txBody>
        </xdr:sp>
      </mc:Fallback>
    </mc:AlternateContent>
    <xdr:clientData/>
  </xdr:oneCellAnchor>
  <xdr:oneCellAnchor>
    <xdr:from>
      <xdr:col>5</xdr:col>
      <xdr:colOff>204787</xdr:colOff>
      <xdr:row>22</xdr:row>
      <xdr:rowOff>76200</xdr:rowOff>
    </xdr:from>
    <xdr:ext cx="2748253" cy="318036"/>
    <mc:AlternateContent xmlns:mc="http://schemas.openxmlformats.org/markup-compatibility/2006">
      <mc:Choice xmlns:a14="http://schemas.microsoft.com/office/drawing/2010/main" Requires="a14">
        <xdr:sp macro="" textlink="">
          <xdr:nvSpPr>
            <xdr:cNvPr id="3" name="CuadroTexto 2">
              <a:extLst>
                <a:ext uri="{FF2B5EF4-FFF2-40B4-BE49-F238E27FC236}">
                  <a16:creationId xmlns:a16="http://schemas.microsoft.com/office/drawing/2014/main" id="{B8549935-B260-8B7D-8675-29CEA2C5F8EA}"/>
                </a:ext>
              </a:extLst>
            </xdr:cNvPr>
            <xdr:cNvSpPr txBox="1"/>
          </xdr:nvSpPr>
          <xdr:spPr>
            <a:xfrm>
              <a:off x="6605587" y="5953125"/>
              <a:ext cx="2748253"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
                    <m:r>
                      <a:rPr lang="es-GT" sz="1100" b="0" i="1">
                        <a:latin typeface="Cambria Math" panose="02040503050406030204" pitchFamily="18" charset="0"/>
                      </a:rPr>
                      <m:t>𝑃𝑎𝑟𝑡𝑖𝑐𝑖𝑝𝑎𝑐𝑖</m:t>
                    </m:r>
                    <m:r>
                      <a:rPr lang="es-GT" sz="1100" b="0" i="1">
                        <a:latin typeface="Cambria Math" panose="02040503050406030204" pitchFamily="18" charset="0"/>
                      </a:rPr>
                      <m:t>ó</m:t>
                    </m:r>
                    <m:r>
                      <a:rPr lang="es-GT" sz="1100" b="0" i="1">
                        <a:latin typeface="Cambria Math" panose="02040503050406030204" pitchFamily="18" charset="0"/>
                      </a:rPr>
                      <m:t>𝑛</m:t>
                    </m:r>
                    <m:r>
                      <a:rPr lang="es-GT" sz="1100" b="0" i="1">
                        <a:latin typeface="Cambria Math" panose="02040503050406030204" pitchFamily="18" charset="0"/>
                      </a:rPr>
                      <m:t> </m:t>
                    </m:r>
                    <m:r>
                      <a:rPr lang="es-GT" sz="1100" b="0" i="1">
                        <a:latin typeface="Cambria Math" panose="02040503050406030204" pitchFamily="18" charset="0"/>
                      </a:rPr>
                      <m:t>𝐸𝐵𝐸</m:t>
                    </m:r>
                    <m:r>
                      <a:rPr lang="es-GT" sz="1100" b="0" i="1">
                        <a:latin typeface="Cambria Math" panose="02040503050406030204" pitchFamily="18" charset="0"/>
                      </a:rPr>
                      <m:t>=</m:t>
                    </m:r>
                    <m:f>
                      <m:fPr>
                        <m:ctrlPr>
                          <a:rPr lang="es-GT" sz="1100" b="0" i="1">
                            <a:latin typeface="Cambria Math" panose="02040503050406030204" pitchFamily="18" charset="0"/>
                          </a:rPr>
                        </m:ctrlPr>
                      </m:fPr>
                      <m:num>
                        <m:r>
                          <a:rPr lang="es-GT" sz="1100" b="0" i="1">
                            <a:latin typeface="Cambria Math" panose="02040503050406030204" pitchFamily="18" charset="0"/>
                          </a:rPr>
                          <m:t>2100</m:t>
                        </m:r>
                      </m:num>
                      <m:den>
                        <m:r>
                          <a:rPr lang="es-GT" sz="1100" b="0" i="1">
                            <a:latin typeface="Cambria Math" panose="02040503050406030204" pitchFamily="18" charset="0"/>
                          </a:rPr>
                          <m:t>7820</m:t>
                        </m:r>
                      </m:den>
                    </m:f>
                    <m:r>
                      <a:rPr lang="es-GT" sz="1100" b="0" i="1">
                        <a:latin typeface="Cambria Math" panose="02040503050406030204" pitchFamily="18" charset="0"/>
                      </a:rPr>
                      <m:t> ∗100=26.85%</m:t>
                    </m:r>
                  </m:oMath>
                </m:oMathPara>
              </a14:m>
              <a:endParaRPr lang="es-GT" sz="1100"/>
            </a:p>
          </xdr:txBody>
        </xdr:sp>
      </mc:Choice>
      <mc:Fallback>
        <xdr:sp macro="" textlink="">
          <xdr:nvSpPr>
            <xdr:cNvPr id="3" name="CuadroTexto 2">
              <a:extLst>
                <a:ext uri="{FF2B5EF4-FFF2-40B4-BE49-F238E27FC236}">
                  <a16:creationId xmlns:a16="http://schemas.microsoft.com/office/drawing/2014/main" id="{B8549935-B260-8B7D-8675-29CEA2C5F8EA}"/>
                </a:ext>
              </a:extLst>
            </xdr:cNvPr>
            <xdr:cNvSpPr txBox="1"/>
          </xdr:nvSpPr>
          <xdr:spPr>
            <a:xfrm>
              <a:off x="6605587" y="5953125"/>
              <a:ext cx="2748253"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GT" sz="1100" b="0" i="0">
                  <a:latin typeface="Cambria Math" panose="02040503050406030204" pitchFamily="18" charset="0"/>
                </a:rPr>
                <a:t>𝑃𝑎𝑟𝑡𝑖𝑐𝑖𝑝𝑎𝑐𝑖ó𝑛 𝐸𝐵𝐸=2100/7820  ∗100=26.85%</a:t>
              </a:r>
              <a:endParaRPr lang="es-GT" sz="1100"/>
            </a:p>
          </xdr:txBody>
        </xdr:sp>
      </mc:Fallback>
    </mc:AlternateContent>
    <xdr:clientData/>
  </xdr:oneCellAnchor>
  <xdr:oneCellAnchor>
    <xdr:from>
      <xdr:col>4</xdr:col>
      <xdr:colOff>242887</xdr:colOff>
      <xdr:row>24</xdr:row>
      <xdr:rowOff>171450</xdr:rowOff>
    </xdr:from>
    <xdr:ext cx="3304046" cy="318036"/>
    <mc:AlternateContent xmlns:mc="http://schemas.openxmlformats.org/markup-compatibility/2006">
      <mc:Choice xmlns:a14="http://schemas.microsoft.com/office/drawing/2010/main" Requires="a14">
        <xdr:sp macro="" textlink="">
          <xdr:nvSpPr>
            <xdr:cNvPr id="4" name="CuadroTexto 3">
              <a:extLst>
                <a:ext uri="{FF2B5EF4-FFF2-40B4-BE49-F238E27FC236}">
                  <a16:creationId xmlns:a16="http://schemas.microsoft.com/office/drawing/2014/main" id="{B3386A4D-A528-D70B-6CA2-678302EDA858}"/>
                </a:ext>
              </a:extLst>
            </xdr:cNvPr>
            <xdr:cNvSpPr txBox="1"/>
          </xdr:nvSpPr>
          <xdr:spPr>
            <a:xfrm>
              <a:off x="6338887" y="6410325"/>
              <a:ext cx="3304046"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
                    <m:r>
                      <a:rPr lang="es-GT" sz="1100" b="0" i="1">
                        <a:latin typeface="Cambria Math" panose="02040503050406030204" pitchFamily="18" charset="0"/>
                      </a:rPr>
                      <m:t>𝑃𝑎𝑟𝑡𝑖𝑐𝑖𝑝𝑎𝑐𝑖</m:t>
                    </m:r>
                    <m:r>
                      <a:rPr lang="es-GT" sz="1100" b="0" i="1">
                        <a:latin typeface="Cambria Math" panose="02040503050406030204" pitchFamily="18" charset="0"/>
                      </a:rPr>
                      <m:t>ó</m:t>
                    </m:r>
                    <m:r>
                      <a:rPr lang="es-GT" sz="1100" b="0" i="1">
                        <a:latin typeface="Cambria Math" panose="02040503050406030204" pitchFamily="18" charset="0"/>
                      </a:rPr>
                      <m:t>𝑛</m:t>
                    </m:r>
                    <m:r>
                      <a:rPr lang="es-GT" sz="1100" b="0" i="1">
                        <a:latin typeface="Cambria Math" panose="02040503050406030204" pitchFamily="18" charset="0"/>
                      </a:rPr>
                      <m:t> </m:t>
                    </m:r>
                    <m:r>
                      <a:rPr lang="es-GT" sz="1100" b="0" i="1">
                        <a:latin typeface="Cambria Math" panose="02040503050406030204" pitchFamily="18" charset="0"/>
                      </a:rPr>
                      <m:t>𝑖𝑛𝑔𝑟𝑒𝑜</m:t>
                    </m:r>
                    <m:r>
                      <a:rPr lang="es-GT" sz="1100" b="0" i="1">
                        <a:latin typeface="Cambria Math" panose="02040503050406030204" pitchFamily="18" charset="0"/>
                      </a:rPr>
                      <m:t> </m:t>
                    </m:r>
                    <m:r>
                      <a:rPr lang="es-GT" sz="1100" b="0" i="1">
                        <a:latin typeface="Cambria Math" panose="02040503050406030204" pitchFamily="18" charset="0"/>
                      </a:rPr>
                      <m:t>𝑚𝑖𝑥𝑡𝑜</m:t>
                    </m:r>
                    <m:r>
                      <a:rPr lang="es-GT" sz="1100" b="0" i="1">
                        <a:latin typeface="Cambria Math" panose="02040503050406030204" pitchFamily="18" charset="0"/>
                      </a:rPr>
                      <m:t>=</m:t>
                    </m:r>
                    <m:f>
                      <m:fPr>
                        <m:ctrlPr>
                          <a:rPr lang="es-GT" sz="1100" b="0" i="1">
                            <a:latin typeface="Cambria Math" panose="02040503050406030204" pitchFamily="18" charset="0"/>
                          </a:rPr>
                        </m:ctrlPr>
                      </m:fPr>
                      <m:num>
                        <m:r>
                          <a:rPr lang="es-GT" sz="1100" b="0" i="1">
                            <a:latin typeface="Cambria Math" panose="02040503050406030204" pitchFamily="18" charset="0"/>
                          </a:rPr>
                          <m:t>960</m:t>
                        </m:r>
                      </m:num>
                      <m:den>
                        <m:r>
                          <a:rPr lang="es-GT" sz="1100" b="0" i="1">
                            <a:latin typeface="Cambria Math" panose="02040503050406030204" pitchFamily="18" charset="0"/>
                          </a:rPr>
                          <m:t>7820</m:t>
                        </m:r>
                      </m:den>
                    </m:f>
                    <m:r>
                      <a:rPr lang="es-GT" sz="1100" b="0" i="1">
                        <a:latin typeface="Cambria Math" panose="02040503050406030204" pitchFamily="18" charset="0"/>
                      </a:rPr>
                      <m:t> ∗100=12.28%</m:t>
                    </m:r>
                  </m:oMath>
                </m:oMathPara>
              </a14:m>
              <a:endParaRPr lang="es-GT" sz="1100"/>
            </a:p>
          </xdr:txBody>
        </xdr:sp>
      </mc:Choice>
      <mc:Fallback>
        <xdr:sp macro="" textlink="">
          <xdr:nvSpPr>
            <xdr:cNvPr id="4" name="CuadroTexto 3">
              <a:extLst>
                <a:ext uri="{FF2B5EF4-FFF2-40B4-BE49-F238E27FC236}">
                  <a16:creationId xmlns:a16="http://schemas.microsoft.com/office/drawing/2014/main" id="{B3386A4D-A528-D70B-6CA2-678302EDA858}"/>
                </a:ext>
              </a:extLst>
            </xdr:cNvPr>
            <xdr:cNvSpPr txBox="1"/>
          </xdr:nvSpPr>
          <xdr:spPr>
            <a:xfrm>
              <a:off x="6338887" y="6410325"/>
              <a:ext cx="3304046"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GT" sz="1100" b="0" i="0">
                  <a:latin typeface="Cambria Math" panose="02040503050406030204" pitchFamily="18" charset="0"/>
                </a:rPr>
                <a:t>𝑃𝑎𝑟𝑡𝑖𝑐𝑖𝑝𝑎𝑐𝑖ó𝑛 𝑖𝑛𝑔𝑟𝑒𝑜 𝑚𝑖𝑥𝑡𝑜=960/7820  ∗100=12.28%</a:t>
              </a:r>
              <a:endParaRPr lang="es-GT"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1</xdr:col>
      <xdr:colOff>109537</xdr:colOff>
      <xdr:row>29</xdr:row>
      <xdr:rowOff>104775</xdr:rowOff>
    </xdr:from>
    <xdr:ext cx="1586845" cy="172227"/>
    <mc:AlternateContent xmlns:mc="http://schemas.openxmlformats.org/markup-compatibility/2006">
      <mc:Choice xmlns:a14="http://schemas.microsoft.com/office/drawing/2010/main" Requires="a14">
        <xdr:sp macro="" textlink="">
          <xdr:nvSpPr>
            <xdr:cNvPr id="2" name="CuadroTexto 1">
              <a:extLst>
                <a:ext uri="{FF2B5EF4-FFF2-40B4-BE49-F238E27FC236}">
                  <a16:creationId xmlns:a16="http://schemas.microsoft.com/office/drawing/2014/main" id="{2E360A82-848A-97FE-CBB3-C0198DF6EA17}"/>
                </a:ext>
              </a:extLst>
            </xdr:cNvPr>
            <xdr:cNvSpPr txBox="1"/>
          </xdr:nvSpPr>
          <xdr:spPr>
            <a:xfrm>
              <a:off x="338137" y="6981825"/>
              <a:ext cx="158684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
                    <m:r>
                      <a:rPr lang="es-GT" sz="1100" b="0" i="1">
                        <a:latin typeface="Cambria Math" panose="02040503050406030204" pitchFamily="18" charset="0"/>
                      </a:rPr>
                      <m:t>𝑃𝐼𝐵</m:t>
                    </m:r>
                    <m:r>
                      <a:rPr lang="es-GT" sz="1100" b="0" i="1">
                        <a:latin typeface="Cambria Math" panose="02040503050406030204" pitchFamily="18" charset="0"/>
                      </a:rPr>
                      <m:t>=</m:t>
                    </m:r>
                    <m:r>
                      <a:rPr lang="es-GT" sz="1100" b="0" i="1">
                        <a:latin typeface="Cambria Math" panose="02040503050406030204" pitchFamily="18" charset="0"/>
                      </a:rPr>
                      <m:t>𝐶</m:t>
                    </m:r>
                    <m:r>
                      <a:rPr lang="es-GT" sz="1100" b="0" i="1">
                        <a:latin typeface="Cambria Math" panose="02040503050406030204" pitchFamily="18" charset="0"/>
                      </a:rPr>
                      <m:t>+</m:t>
                    </m:r>
                    <m:r>
                      <a:rPr lang="es-GT" sz="1100" b="0" i="1">
                        <a:latin typeface="Cambria Math" panose="02040503050406030204" pitchFamily="18" charset="0"/>
                      </a:rPr>
                      <m:t>𝐼</m:t>
                    </m:r>
                    <m:r>
                      <a:rPr lang="es-GT" sz="1100" b="0" i="1">
                        <a:latin typeface="Cambria Math" panose="02040503050406030204" pitchFamily="18" charset="0"/>
                      </a:rPr>
                      <m:t>+</m:t>
                    </m:r>
                    <m:r>
                      <a:rPr lang="es-GT" sz="1100" b="0" i="1">
                        <a:latin typeface="Cambria Math" panose="02040503050406030204" pitchFamily="18" charset="0"/>
                      </a:rPr>
                      <m:t>𝐺</m:t>
                    </m:r>
                    <m:r>
                      <a:rPr lang="es-GT" sz="1100" b="0" i="1">
                        <a:latin typeface="Cambria Math" panose="02040503050406030204" pitchFamily="18" charset="0"/>
                      </a:rPr>
                      <m:t>+</m:t>
                    </m:r>
                    <m:r>
                      <a:rPr lang="es-GT" sz="1100" b="0" i="1">
                        <a:latin typeface="Cambria Math" panose="02040503050406030204" pitchFamily="18" charset="0"/>
                      </a:rPr>
                      <m:t>𝑋</m:t>
                    </m:r>
                    <m:r>
                      <a:rPr lang="es-GT" sz="1100" b="0" i="1">
                        <a:latin typeface="Cambria Math" panose="02040503050406030204" pitchFamily="18" charset="0"/>
                      </a:rPr>
                      <m:t>−</m:t>
                    </m:r>
                    <m:r>
                      <a:rPr lang="es-GT" sz="1100" b="0" i="1">
                        <a:latin typeface="Cambria Math" panose="02040503050406030204" pitchFamily="18" charset="0"/>
                      </a:rPr>
                      <m:t>𝑀</m:t>
                    </m:r>
                  </m:oMath>
                </m:oMathPara>
              </a14:m>
              <a:endParaRPr lang="es-GT" sz="1100"/>
            </a:p>
          </xdr:txBody>
        </xdr:sp>
      </mc:Choice>
      <mc:Fallback>
        <xdr:sp macro="" textlink="">
          <xdr:nvSpPr>
            <xdr:cNvPr id="2" name="CuadroTexto 1">
              <a:extLst>
                <a:ext uri="{FF2B5EF4-FFF2-40B4-BE49-F238E27FC236}">
                  <a16:creationId xmlns:a16="http://schemas.microsoft.com/office/drawing/2014/main" id="{2E360A82-848A-97FE-CBB3-C0198DF6EA17}"/>
                </a:ext>
              </a:extLst>
            </xdr:cNvPr>
            <xdr:cNvSpPr txBox="1"/>
          </xdr:nvSpPr>
          <xdr:spPr>
            <a:xfrm>
              <a:off x="338137" y="6981825"/>
              <a:ext cx="158684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GT" sz="1100" b="0" i="0">
                  <a:latin typeface="Cambria Math" panose="02040503050406030204" pitchFamily="18" charset="0"/>
                </a:rPr>
                <a:t>𝑃𝐼𝐵=𝐶+𝐼+𝐺+𝑋−𝑀</a:t>
              </a:r>
              <a:endParaRPr lang="es-GT" sz="1100"/>
            </a:p>
          </xdr:txBody>
        </xdr:sp>
      </mc:Fallback>
    </mc:AlternateContent>
    <xdr:clientData/>
  </xdr:oneCellAnchor>
  <xdr:oneCellAnchor>
    <xdr:from>
      <xdr:col>1</xdr:col>
      <xdr:colOff>2090737</xdr:colOff>
      <xdr:row>29</xdr:row>
      <xdr:rowOff>104775</xdr:rowOff>
    </xdr:from>
    <xdr:ext cx="1586845" cy="172227"/>
    <mc:AlternateContent xmlns:mc="http://schemas.openxmlformats.org/markup-compatibility/2006">
      <mc:Choice xmlns:a14="http://schemas.microsoft.com/office/drawing/2010/main" Requires="a14">
        <xdr:sp macro="" textlink="">
          <xdr:nvSpPr>
            <xdr:cNvPr id="3" name="CuadroTexto 2">
              <a:extLst>
                <a:ext uri="{FF2B5EF4-FFF2-40B4-BE49-F238E27FC236}">
                  <a16:creationId xmlns:a16="http://schemas.microsoft.com/office/drawing/2014/main" id="{CDB6312E-BFD5-5BDC-AC29-B01AE38D3CDF}"/>
                </a:ext>
              </a:extLst>
            </xdr:cNvPr>
            <xdr:cNvSpPr txBox="1"/>
          </xdr:nvSpPr>
          <xdr:spPr>
            <a:xfrm>
              <a:off x="2319337" y="6981825"/>
              <a:ext cx="158684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
                    <m:r>
                      <a:rPr lang="es-GT" sz="1100" b="0" i="1">
                        <a:latin typeface="Cambria Math" panose="02040503050406030204" pitchFamily="18" charset="0"/>
                      </a:rPr>
                      <m:t>𝑀</m:t>
                    </m:r>
                    <m:r>
                      <a:rPr lang="es-GT" sz="1100" b="0" i="1">
                        <a:latin typeface="Cambria Math" panose="02040503050406030204" pitchFamily="18" charset="0"/>
                      </a:rPr>
                      <m:t>=</m:t>
                    </m:r>
                    <m:r>
                      <a:rPr lang="es-GT" sz="1100" b="0" i="1">
                        <a:latin typeface="Cambria Math" panose="02040503050406030204" pitchFamily="18" charset="0"/>
                      </a:rPr>
                      <m:t>𝐶</m:t>
                    </m:r>
                    <m:r>
                      <a:rPr lang="es-GT" sz="1100" b="0" i="1">
                        <a:latin typeface="Cambria Math" panose="02040503050406030204" pitchFamily="18" charset="0"/>
                      </a:rPr>
                      <m:t>+</m:t>
                    </m:r>
                    <m:r>
                      <a:rPr lang="es-GT" sz="1100" b="0" i="1">
                        <a:latin typeface="Cambria Math" panose="02040503050406030204" pitchFamily="18" charset="0"/>
                      </a:rPr>
                      <m:t>𝐼</m:t>
                    </m:r>
                    <m:r>
                      <a:rPr lang="es-GT" sz="1100" b="0" i="1">
                        <a:latin typeface="Cambria Math" panose="02040503050406030204" pitchFamily="18" charset="0"/>
                      </a:rPr>
                      <m:t>+</m:t>
                    </m:r>
                    <m:r>
                      <a:rPr lang="es-GT" sz="1100" b="0" i="1">
                        <a:latin typeface="Cambria Math" panose="02040503050406030204" pitchFamily="18" charset="0"/>
                      </a:rPr>
                      <m:t>𝐺</m:t>
                    </m:r>
                    <m:r>
                      <a:rPr lang="es-GT" sz="1100" b="0" i="1">
                        <a:latin typeface="Cambria Math" panose="02040503050406030204" pitchFamily="18" charset="0"/>
                      </a:rPr>
                      <m:t>+</m:t>
                    </m:r>
                    <m:r>
                      <a:rPr lang="es-GT" sz="1100" b="0" i="1">
                        <a:latin typeface="Cambria Math" panose="02040503050406030204" pitchFamily="18" charset="0"/>
                      </a:rPr>
                      <m:t>𝑋</m:t>
                    </m:r>
                    <m:r>
                      <a:rPr lang="es-GT" sz="1100" b="0" i="1">
                        <a:latin typeface="Cambria Math" panose="02040503050406030204" pitchFamily="18" charset="0"/>
                      </a:rPr>
                      <m:t>−</m:t>
                    </m:r>
                    <m:r>
                      <a:rPr lang="es-GT" sz="1100" b="0" i="1">
                        <a:latin typeface="Cambria Math" panose="02040503050406030204" pitchFamily="18" charset="0"/>
                      </a:rPr>
                      <m:t>𝑃𝐼𝐵</m:t>
                    </m:r>
                  </m:oMath>
                </m:oMathPara>
              </a14:m>
              <a:endParaRPr lang="es-GT" sz="1100"/>
            </a:p>
          </xdr:txBody>
        </xdr:sp>
      </mc:Choice>
      <mc:Fallback>
        <xdr:sp macro="" textlink="">
          <xdr:nvSpPr>
            <xdr:cNvPr id="3" name="CuadroTexto 2">
              <a:extLst>
                <a:ext uri="{FF2B5EF4-FFF2-40B4-BE49-F238E27FC236}">
                  <a16:creationId xmlns:a16="http://schemas.microsoft.com/office/drawing/2014/main" id="{CDB6312E-BFD5-5BDC-AC29-B01AE38D3CDF}"/>
                </a:ext>
              </a:extLst>
            </xdr:cNvPr>
            <xdr:cNvSpPr txBox="1"/>
          </xdr:nvSpPr>
          <xdr:spPr>
            <a:xfrm>
              <a:off x="2319337" y="6981825"/>
              <a:ext cx="158684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GT" sz="1100" b="0" i="0">
                  <a:latin typeface="Cambria Math" panose="02040503050406030204" pitchFamily="18" charset="0"/>
                </a:rPr>
                <a:t>𝑀=𝐶+𝐼+𝐺+𝑋−𝑃𝐼𝐵</a:t>
              </a:r>
              <a:endParaRPr lang="es-GT" sz="1100"/>
            </a:p>
          </xdr:txBody>
        </xdr:sp>
      </mc:Fallback>
    </mc:AlternateContent>
    <xdr:clientData/>
  </xdr:oneCellAnchor>
  <xdr:oneCellAnchor>
    <xdr:from>
      <xdr:col>1</xdr:col>
      <xdr:colOff>90487</xdr:colOff>
      <xdr:row>31</xdr:row>
      <xdr:rowOff>66675</xdr:rowOff>
    </xdr:from>
    <xdr:ext cx="2573590" cy="172227"/>
    <mc:AlternateContent xmlns:mc="http://schemas.openxmlformats.org/markup-compatibility/2006">
      <mc:Choice xmlns:a14="http://schemas.microsoft.com/office/drawing/2010/main" Requires="a14">
        <xdr:sp macro="" textlink="">
          <xdr:nvSpPr>
            <xdr:cNvPr id="8" name="CuadroTexto 7">
              <a:extLst>
                <a:ext uri="{FF2B5EF4-FFF2-40B4-BE49-F238E27FC236}">
                  <a16:creationId xmlns:a16="http://schemas.microsoft.com/office/drawing/2014/main" id="{DAF452BE-274E-38C4-FDEC-E63C15A3C2CE}"/>
                </a:ext>
              </a:extLst>
            </xdr:cNvPr>
            <xdr:cNvSpPr txBox="1"/>
          </xdr:nvSpPr>
          <xdr:spPr>
            <a:xfrm>
              <a:off x="319087" y="7305675"/>
              <a:ext cx="257359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
                    <m:r>
                      <a:rPr lang="es-GT" sz="1100" b="0" i="1">
                        <a:latin typeface="Cambria Math" panose="02040503050406030204" pitchFamily="18" charset="0"/>
                      </a:rPr>
                      <m:t>𝑀</m:t>
                    </m:r>
                    <m:r>
                      <a:rPr lang="es-GT" sz="1100" b="0" i="1">
                        <a:latin typeface="Cambria Math" panose="02040503050406030204" pitchFamily="18" charset="0"/>
                      </a:rPr>
                      <m:t>=5200+1800+1500+1100−9000</m:t>
                    </m:r>
                  </m:oMath>
                </m:oMathPara>
              </a14:m>
              <a:endParaRPr lang="es-GT" sz="1100"/>
            </a:p>
          </xdr:txBody>
        </xdr:sp>
      </mc:Choice>
      <mc:Fallback>
        <xdr:sp macro="" textlink="">
          <xdr:nvSpPr>
            <xdr:cNvPr id="8" name="CuadroTexto 7">
              <a:extLst>
                <a:ext uri="{FF2B5EF4-FFF2-40B4-BE49-F238E27FC236}">
                  <a16:creationId xmlns:a16="http://schemas.microsoft.com/office/drawing/2014/main" id="{DAF452BE-274E-38C4-FDEC-E63C15A3C2CE}"/>
                </a:ext>
              </a:extLst>
            </xdr:cNvPr>
            <xdr:cNvSpPr txBox="1"/>
          </xdr:nvSpPr>
          <xdr:spPr>
            <a:xfrm>
              <a:off x="319087" y="7305675"/>
              <a:ext cx="257359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GT" sz="1100" b="0" i="0">
                  <a:latin typeface="Cambria Math" panose="02040503050406030204" pitchFamily="18" charset="0"/>
                </a:rPr>
                <a:t>𝑀=5200+1800+1500+1100−9000</a:t>
              </a:r>
              <a:endParaRPr lang="es-GT" sz="1100"/>
            </a:p>
          </xdr:txBody>
        </xdr:sp>
      </mc:Fallback>
    </mc:AlternateContent>
    <xdr:clientData/>
  </xdr:oneCellAnchor>
  <xdr:oneCellAnchor>
    <xdr:from>
      <xdr:col>2</xdr:col>
      <xdr:colOff>823912</xdr:colOff>
      <xdr:row>31</xdr:row>
      <xdr:rowOff>28575</xdr:rowOff>
    </xdr:from>
    <xdr:ext cx="1281120" cy="172227"/>
    <mc:AlternateContent xmlns:mc="http://schemas.openxmlformats.org/markup-compatibility/2006">
      <mc:Choice xmlns:a14="http://schemas.microsoft.com/office/drawing/2010/main" Requires="a14">
        <xdr:sp macro="" textlink="">
          <xdr:nvSpPr>
            <xdr:cNvPr id="12" name="CuadroTexto 11">
              <a:extLst>
                <a:ext uri="{FF2B5EF4-FFF2-40B4-BE49-F238E27FC236}">
                  <a16:creationId xmlns:a16="http://schemas.microsoft.com/office/drawing/2014/main" id="{9FB618E3-C54C-CB5E-EB93-065EC2E8DF51}"/>
                </a:ext>
              </a:extLst>
            </xdr:cNvPr>
            <xdr:cNvSpPr txBox="1"/>
          </xdr:nvSpPr>
          <xdr:spPr>
            <a:xfrm>
              <a:off x="3262312" y="7267575"/>
              <a:ext cx="128112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
                    <m:r>
                      <a:rPr lang="es-GT" sz="1100" b="0" i="1">
                        <a:latin typeface="Cambria Math" panose="02040503050406030204" pitchFamily="18" charset="0"/>
                      </a:rPr>
                      <m:t>𝑀</m:t>
                    </m:r>
                    <m:r>
                      <a:rPr lang="es-GT" sz="1100" b="0" i="1">
                        <a:latin typeface="Cambria Math" panose="02040503050406030204" pitchFamily="18" charset="0"/>
                      </a:rPr>
                      <m:t>=</m:t>
                    </m:r>
                    <m:r>
                      <a:rPr lang="es-GT" sz="1100" b="0" i="1">
                        <a:latin typeface="Cambria Math" panose="02040503050406030204" pitchFamily="18" charset="0"/>
                      </a:rPr>
                      <m:t>𝑄</m:t>
                    </m:r>
                    <m:r>
                      <a:rPr lang="es-GT" sz="1100" b="0" i="1">
                        <a:latin typeface="Cambria Math" panose="02040503050406030204" pitchFamily="18" charset="0"/>
                      </a:rPr>
                      <m:t> 600 </m:t>
                    </m:r>
                    <m:r>
                      <a:rPr lang="es-GT" sz="1100" b="0" i="1">
                        <a:latin typeface="Cambria Math" panose="02040503050406030204" pitchFamily="18" charset="0"/>
                      </a:rPr>
                      <m:t>𝑚𝑖𝑙𝑙𝑜𝑛𝑒𝑠</m:t>
                    </m:r>
                  </m:oMath>
                </m:oMathPara>
              </a14:m>
              <a:endParaRPr lang="es-GT" sz="1100"/>
            </a:p>
          </xdr:txBody>
        </xdr:sp>
      </mc:Choice>
      <mc:Fallback>
        <xdr:sp macro="" textlink="">
          <xdr:nvSpPr>
            <xdr:cNvPr id="12" name="CuadroTexto 11">
              <a:extLst>
                <a:ext uri="{FF2B5EF4-FFF2-40B4-BE49-F238E27FC236}">
                  <a16:creationId xmlns:a16="http://schemas.microsoft.com/office/drawing/2014/main" id="{9FB618E3-C54C-CB5E-EB93-065EC2E8DF51}"/>
                </a:ext>
              </a:extLst>
            </xdr:cNvPr>
            <xdr:cNvSpPr txBox="1"/>
          </xdr:nvSpPr>
          <xdr:spPr>
            <a:xfrm>
              <a:off x="3262312" y="7267575"/>
              <a:ext cx="128112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GT" sz="1100" b="0" i="0">
                  <a:latin typeface="Cambria Math" panose="02040503050406030204" pitchFamily="18" charset="0"/>
                </a:rPr>
                <a:t>𝑀=𝑄 600 𝑚𝑖𝑙𝑙𝑜𝑛𝑒𝑠</a:t>
              </a:r>
              <a:endParaRPr lang="es-GT" sz="1100"/>
            </a:p>
          </xdr:txBody>
        </xdr:sp>
      </mc:Fallback>
    </mc:AlternateContent>
    <xdr:clientData/>
  </xdr:oneCellAnchor>
  <xdr:oneCellAnchor>
    <xdr:from>
      <xdr:col>4</xdr:col>
      <xdr:colOff>1204912</xdr:colOff>
      <xdr:row>29</xdr:row>
      <xdr:rowOff>114300</xdr:rowOff>
    </xdr:from>
    <xdr:ext cx="3328091" cy="172227"/>
    <mc:AlternateContent xmlns:mc="http://schemas.openxmlformats.org/markup-compatibility/2006">
      <mc:Choice xmlns:a14="http://schemas.microsoft.com/office/drawing/2010/main" Requires="a14">
        <xdr:sp macro="" textlink="">
          <xdr:nvSpPr>
            <xdr:cNvPr id="13" name="CuadroTexto 12">
              <a:extLst>
                <a:ext uri="{FF2B5EF4-FFF2-40B4-BE49-F238E27FC236}">
                  <a16:creationId xmlns:a16="http://schemas.microsoft.com/office/drawing/2014/main" id="{59DD43CD-410B-C8CB-CAE7-9C3B262E63B1}"/>
                </a:ext>
              </a:extLst>
            </xdr:cNvPr>
            <xdr:cNvSpPr txBox="1"/>
          </xdr:nvSpPr>
          <xdr:spPr>
            <a:xfrm>
              <a:off x="5243512" y="6991350"/>
              <a:ext cx="332809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
                    <m:r>
                      <a:rPr lang="es-GT" sz="1100" b="0" i="1">
                        <a:latin typeface="Cambria Math" panose="02040503050406030204" pitchFamily="18" charset="0"/>
                      </a:rPr>
                      <m:t>𝑃𝐼𝐵</m:t>
                    </m:r>
                    <m:r>
                      <a:rPr lang="es-GT" sz="1100" b="0" i="1">
                        <a:latin typeface="Cambria Math" panose="02040503050406030204" pitchFamily="18" charset="0"/>
                      </a:rPr>
                      <m:t>=</m:t>
                    </m:r>
                    <m:r>
                      <a:rPr lang="es-GT" sz="1100" b="0" i="1">
                        <a:latin typeface="Cambria Math" panose="02040503050406030204" pitchFamily="18" charset="0"/>
                      </a:rPr>
                      <m:t>𝑅𝐴</m:t>
                    </m:r>
                    <m:r>
                      <a:rPr lang="es-GT" sz="1100" b="0" i="1">
                        <a:latin typeface="Cambria Math" panose="02040503050406030204" pitchFamily="18" charset="0"/>
                      </a:rPr>
                      <m:t>+</m:t>
                    </m:r>
                    <m:r>
                      <a:rPr lang="es-GT" sz="1100" b="0" i="1">
                        <a:latin typeface="Cambria Math" panose="02040503050406030204" pitchFamily="18" charset="0"/>
                      </a:rPr>
                      <m:t>𝐸𝐵𝐸</m:t>
                    </m:r>
                    <m:r>
                      <a:rPr lang="es-GT" sz="1100" b="0" i="1">
                        <a:latin typeface="Cambria Math" panose="02040503050406030204" pitchFamily="18" charset="0"/>
                      </a:rPr>
                      <m:t>+</m:t>
                    </m:r>
                    <m:r>
                      <a:rPr lang="es-GT" sz="1100" b="0" i="1">
                        <a:latin typeface="Cambria Math" panose="02040503050406030204" pitchFamily="18" charset="0"/>
                      </a:rPr>
                      <m:t>𝐼𝑛𝑔𝑟𝑒𝑠𝑜</m:t>
                    </m:r>
                    <m:r>
                      <a:rPr lang="es-GT" sz="1100" b="0" i="1">
                        <a:latin typeface="Cambria Math" panose="02040503050406030204" pitchFamily="18" charset="0"/>
                      </a:rPr>
                      <m:t> </m:t>
                    </m:r>
                    <m:r>
                      <a:rPr lang="es-GT" sz="1100" b="0" i="1">
                        <a:latin typeface="Cambria Math" panose="02040503050406030204" pitchFamily="18" charset="0"/>
                      </a:rPr>
                      <m:t>𝑚𝑖𝑥𝑡𝑜</m:t>
                    </m:r>
                    <m:r>
                      <a:rPr lang="es-GT" sz="1100" b="0" i="1">
                        <a:latin typeface="Cambria Math" panose="02040503050406030204" pitchFamily="18" charset="0"/>
                      </a:rPr>
                      <m:t> +</m:t>
                    </m:r>
                    <m:r>
                      <a:rPr lang="es-GT" sz="1100" b="0" i="1">
                        <a:latin typeface="Cambria Math" panose="02040503050406030204" pitchFamily="18" charset="0"/>
                      </a:rPr>
                      <m:t>𝐼𝑚𝑝𝑢𝑒𝑡𝑜𝑠</m:t>
                    </m:r>
                    <m:r>
                      <a:rPr lang="es-GT" sz="1100" b="0" i="1">
                        <a:latin typeface="Cambria Math" panose="02040503050406030204" pitchFamily="18" charset="0"/>
                      </a:rPr>
                      <m:t> </m:t>
                    </m:r>
                    <m:r>
                      <a:rPr lang="es-GT" sz="1100" b="0" i="1">
                        <a:latin typeface="Cambria Math" panose="02040503050406030204" pitchFamily="18" charset="0"/>
                      </a:rPr>
                      <m:t>𝑛𝑒𝑡𝑜𝑠</m:t>
                    </m:r>
                  </m:oMath>
                </m:oMathPara>
              </a14:m>
              <a:endParaRPr lang="es-GT" sz="1100"/>
            </a:p>
          </xdr:txBody>
        </xdr:sp>
      </mc:Choice>
      <mc:Fallback>
        <xdr:sp macro="" textlink="">
          <xdr:nvSpPr>
            <xdr:cNvPr id="13" name="CuadroTexto 12">
              <a:extLst>
                <a:ext uri="{FF2B5EF4-FFF2-40B4-BE49-F238E27FC236}">
                  <a16:creationId xmlns:a16="http://schemas.microsoft.com/office/drawing/2014/main" id="{59DD43CD-410B-C8CB-CAE7-9C3B262E63B1}"/>
                </a:ext>
              </a:extLst>
            </xdr:cNvPr>
            <xdr:cNvSpPr txBox="1"/>
          </xdr:nvSpPr>
          <xdr:spPr>
            <a:xfrm>
              <a:off x="5243512" y="6991350"/>
              <a:ext cx="332809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GT" sz="1100" b="0" i="0">
                  <a:latin typeface="Cambria Math" panose="02040503050406030204" pitchFamily="18" charset="0"/>
                </a:rPr>
                <a:t>𝑃𝐼𝐵=𝑅𝐴+𝐸𝐵𝐸+𝐼𝑛𝑔𝑟𝑒𝑠𝑜 𝑚𝑖𝑥𝑡𝑜 +𝐼𝑚𝑝𝑢𝑒𝑡𝑜𝑠 𝑛𝑒𝑡𝑜𝑠</a:t>
              </a:r>
              <a:endParaRPr lang="es-GT" sz="1100"/>
            </a:p>
          </xdr:txBody>
        </xdr:sp>
      </mc:Fallback>
    </mc:AlternateContent>
    <xdr:clientData/>
  </xdr:oneCellAnchor>
  <xdr:oneCellAnchor>
    <xdr:from>
      <xdr:col>4</xdr:col>
      <xdr:colOff>1185862</xdr:colOff>
      <xdr:row>31</xdr:row>
      <xdr:rowOff>9525</xdr:rowOff>
    </xdr:from>
    <xdr:ext cx="3424271" cy="172227"/>
    <mc:AlternateContent xmlns:mc="http://schemas.openxmlformats.org/markup-compatibility/2006">
      <mc:Choice xmlns:a14="http://schemas.microsoft.com/office/drawing/2010/main" Requires="a14">
        <xdr:sp macro="" textlink="">
          <xdr:nvSpPr>
            <xdr:cNvPr id="14" name="CuadroTexto 13">
              <a:extLst>
                <a:ext uri="{FF2B5EF4-FFF2-40B4-BE49-F238E27FC236}">
                  <a16:creationId xmlns:a16="http://schemas.microsoft.com/office/drawing/2014/main" id="{2F157BDE-4D06-B5BC-E9D6-7C67E1926F59}"/>
                </a:ext>
              </a:extLst>
            </xdr:cNvPr>
            <xdr:cNvSpPr txBox="1"/>
          </xdr:nvSpPr>
          <xdr:spPr>
            <a:xfrm>
              <a:off x="5224462" y="7248525"/>
              <a:ext cx="342427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
                    <m:r>
                      <a:rPr lang="es-GT" sz="1100" b="0" i="1">
                        <a:latin typeface="Cambria Math" panose="02040503050406030204" pitchFamily="18" charset="0"/>
                      </a:rPr>
                      <m:t>𝐸𝐵𝐸</m:t>
                    </m:r>
                    <m:r>
                      <a:rPr lang="es-GT" sz="1100" b="0" i="1">
                        <a:latin typeface="Cambria Math" panose="02040503050406030204" pitchFamily="18" charset="0"/>
                      </a:rPr>
                      <m:t>=</m:t>
                    </m:r>
                    <m:r>
                      <a:rPr lang="es-GT" sz="1100" b="0" i="1">
                        <a:latin typeface="Cambria Math" panose="02040503050406030204" pitchFamily="18" charset="0"/>
                      </a:rPr>
                      <m:t>𝑃𝐼𝐵</m:t>
                    </m:r>
                    <m:r>
                      <a:rPr lang="es-GT" sz="1100" b="0" i="1">
                        <a:latin typeface="Cambria Math" panose="02040503050406030204" pitchFamily="18" charset="0"/>
                      </a:rPr>
                      <m:t> −</m:t>
                    </m:r>
                    <m:r>
                      <a:rPr lang="es-GT" sz="1100" b="0" i="1">
                        <a:latin typeface="Cambria Math" panose="02040503050406030204" pitchFamily="18" charset="0"/>
                      </a:rPr>
                      <m:t>𝑅𝐴</m:t>
                    </m:r>
                    <m:r>
                      <a:rPr lang="es-GT" sz="1100" b="0" i="1">
                        <a:latin typeface="Cambria Math" panose="02040503050406030204" pitchFamily="18" charset="0"/>
                      </a:rPr>
                      <m:t>−</m:t>
                    </m:r>
                    <m:r>
                      <a:rPr lang="es-GT" sz="1100" b="0" i="1">
                        <a:latin typeface="Cambria Math" panose="02040503050406030204" pitchFamily="18" charset="0"/>
                      </a:rPr>
                      <m:t>𝐼𝑛𝑔𝑟𝑒𝑠𝑜</m:t>
                    </m:r>
                    <m:r>
                      <a:rPr lang="es-GT" sz="1100" b="0" i="1">
                        <a:latin typeface="Cambria Math" panose="02040503050406030204" pitchFamily="18" charset="0"/>
                      </a:rPr>
                      <m:t> </m:t>
                    </m:r>
                    <m:r>
                      <a:rPr lang="es-GT" sz="1100" b="0" i="1">
                        <a:latin typeface="Cambria Math" panose="02040503050406030204" pitchFamily="18" charset="0"/>
                      </a:rPr>
                      <m:t>𝑚𝑖𝑥𝑡𝑜</m:t>
                    </m:r>
                    <m:r>
                      <a:rPr lang="es-GT" sz="1100" b="0" i="1">
                        <a:latin typeface="Cambria Math" panose="02040503050406030204" pitchFamily="18" charset="0"/>
                      </a:rPr>
                      <m:t> −</m:t>
                    </m:r>
                    <m:r>
                      <a:rPr lang="es-GT" sz="1100" b="0" i="1">
                        <a:latin typeface="Cambria Math" panose="02040503050406030204" pitchFamily="18" charset="0"/>
                      </a:rPr>
                      <m:t>𝐼𝑚𝑝𝑢𝑒𝑠𝑡𝑜𝑠</m:t>
                    </m:r>
                    <m:r>
                      <a:rPr lang="es-GT" sz="1100" b="0" i="1">
                        <a:latin typeface="Cambria Math" panose="02040503050406030204" pitchFamily="18" charset="0"/>
                      </a:rPr>
                      <m:t> </m:t>
                    </m:r>
                    <m:r>
                      <a:rPr lang="es-GT" sz="1100" b="0" i="1">
                        <a:latin typeface="Cambria Math" panose="02040503050406030204" pitchFamily="18" charset="0"/>
                      </a:rPr>
                      <m:t>𝑛𝑒𝑡𝑜𝑠</m:t>
                    </m:r>
                  </m:oMath>
                </m:oMathPara>
              </a14:m>
              <a:endParaRPr lang="es-GT" sz="1100"/>
            </a:p>
          </xdr:txBody>
        </xdr:sp>
      </mc:Choice>
      <mc:Fallback>
        <xdr:sp macro="" textlink="">
          <xdr:nvSpPr>
            <xdr:cNvPr id="14" name="CuadroTexto 13">
              <a:extLst>
                <a:ext uri="{FF2B5EF4-FFF2-40B4-BE49-F238E27FC236}">
                  <a16:creationId xmlns:a16="http://schemas.microsoft.com/office/drawing/2014/main" id="{2F157BDE-4D06-B5BC-E9D6-7C67E1926F59}"/>
                </a:ext>
              </a:extLst>
            </xdr:cNvPr>
            <xdr:cNvSpPr txBox="1"/>
          </xdr:nvSpPr>
          <xdr:spPr>
            <a:xfrm>
              <a:off x="5224462" y="7248525"/>
              <a:ext cx="342427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GT" sz="1100" b="0" i="0">
                  <a:latin typeface="Cambria Math" panose="02040503050406030204" pitchFamily="18" charset="0"/>
                </a:rPr>
                <a:t>𝐸𝐵𝐸=𝑃𝐼𝐵 −𝑅𝐴−𝐼𝑛𝑔𝑟𝑒𝑠𝑜 𝑚𝑖𝑥𝑡𝑜 −𝐼𝑚𝑝𝑢𝑒𝑠𝑡𝑜𝑠 𝑛𝑒𝑡𝑜𝑠</a:t>
              </a:r>
              <a:endParaRPr lang="es-GT" sz="1100"/>
            </a:p>
          </xdr:txBody>
        </xdr:sp>
      </mc:Fallback>
    </mc:AlternateContent>
    <xdr:clientData/>
  </xdr:oneCellAnchor>
  <xdr:oneCellAnchor>
    <xdr:from>
      <xdr:col>7</xdr:col>
      <xdr:colOff>862012</xdr:colOff>
      <xdr:row>29</xdr:row>
      <xdr:rowOff>142875</xdr:rowOff>
    </xdr:from>
    <xdr:ext cx="2227854" cy="172227"/>
    <mc:AlternateContent xmlns:mc="http://schemas.openxmlformats.org/markup-compatibility/2006">
      <mc:Choice xmlns:a14="http://schemas.microsoft.com/office/drawing/2010/main" Requires="a14">
        <xdr:sp macro="" textlink="">
          <xdr:nvSpPr>
            <xdr:cNvPr id="15" name="CuadroTexto 14">
              <a:extLst>
                <a:ext uri="{FF2B5EF4-FFF2-40B4-BE49-F238E27FC236}">
                  <a16:creationId xmlns:a16="http://schemas.microsoft.com/office/drawing/2014/main" id="{BDDB8893-F9BE-F107-43E7-408F664B1996}"/>
                </a:ext>
              </a:extLst>
            </xdr:cNvPr>
            <xdr:cNvSpPr txBox="1"/>
          </xdr:nvSpPr>
          <xdr:spPr>
            <a:xfrm>
              <a:off x="8863012" y="7019925"/>
              <a:ext cx="222785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
                    <m:r>
                      <a:rPr lang="es-GT" sz="1100" b="0" i="1">
                        <a:latin typeface="Cambria Math" panose="02040503050406030204" pitchFamily="18" charset="0"/>
                      </a:rPr>
                      <m:t>𝐸𝐵𝐸</m:t>
                    </m:r>
                    <m:r>
                      <a:rPr lang="es-GT" sz="1100" b="0" i="1">
                        <a:latin typeface="Cambria Math" panose="02040503050406030204" pitchFamily="18" charset="0"/>
                      </a:rPr>
                      <m:t>=9000−4300 −1100 −500</m:t>
                    </m:r>
                  </m:oMath>
                </m:oMathPara>
              </a14:m>
              <a:endParaRPr lang="es-GT" sz="1100"/>
            </a:p>
          </xdr:txBody>
        </xdr:sp>
      </mc:Choice>
      <mc:Fallback>
        <xdr:sp macro="" textlink="">
          <xdr:nvSpPr>
            <xdr:cNvPr id="15" name="CuadroTexto 14">
              <a:extLst>
                <a:ext uri="{FF2B5EF4-FFF2-40B4-BE49-F238E27FC236}">
                  <a16:creationId xmlns:a16="http://schemas.microsoft.com/office/drawing/2014/main" id="{BDDB8893-F9BE-F107-43E7-408F664B1996}"/>
                </a:ext>
              </a:extLst>
            </xdr:cNvPr>
            <xdr:cNvSpPr txBox="1"/>
          </xdr:nvSpPr>
          <xdr:spPr>
            <a:xfrm>
              <a:off x="8863012" y="7019925"/>
              <a:ext cx="222785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GT" sz="1100" b="0" i="0">
                  <a:latin typeface="Cambria Math" panose="02040503050406030204" pitchFamily="18" charset="0"/>
                </a:rPr>
                <a:t>𝐸𝐵𝐸=9000−4300 −1100 −500</a:t>
              </a:r>
              <a:endParaRPr lang="es-GT" sz="1100"/>
            </a:p>
          </xdr:txBody>
        </xdr:sp>
      </mc:Fallback>
    </mc:AlternateContent>
    <xdr:clientData/>
  </xdr:oneCellAnchor>
  <xdr:oneCellAnchor>
    <xdr:from>
      <xdr:col>7</xdr:col>
      <xdr:colOff>881062</xdr:colOff>
      <xdr:row>31</xdr:row>
      <xdr:rowOff>38100</xdr:rowOff>
    </xdr:from>
    <xdr:ext cx="1510029" cy="172227"/>
    <mc:AlternateContent xmlns:mc="http://schemas.openxmlformats.org/markup-compatibility/2006">
      <mc:Choice xmlns:a14="http://schemas.microsoft.com/office/drawing/2010/main" Requires="a14">
        <xdr:sp macro="" textlink="">
          <xdr:nvSpPr>
            <xdr:cNvPr id="16" name="CuadroTexto 15">
              <a:extLst>
                <a:ext uri="{FF2B5EF4-FFF2-40B4-BE49-F238E27FC236}">
                  <a16:creationId xmlns:a16="http://schemas.microsoft.com/office/drawing/2014/main" id="{B7779748-4665-13DB-65EA-705AD6A45FFB}"/>
                </a:ext>
              </a:extLst>
            </xdr:cNvPr>
            <xdr:cNvSpPr txBox="1"/>
          </xdr:nvSpPr>
          <xdr:spPr>
            <a:xfrm>
              <a:off x="8882062" y="7277100"/>
              <a:ext cx="151002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
                    <m:r>
                      <a:rPr lang="es-GT" sz="1100" b="0" i="1">
                        <a:latin typeface="Cambria Math" panose="02040503050406030204" pitchFamily="18" charset="0"/>
                      </a:rPr>
                      <m:t>𝐸𝐵𝐸</m:t>
                    </m:r>
                    <m:r>
                      <a:rPr lang="es-GT" sz="1100" b="0" i="1">
                        <a:latin typeface="Cambria Math" panose="02040503050406030204" pitchFamily="18" charset="0"/>
                      </a:rPr>
                      <m:t>=</m:t>
                    </m:r>
                    <m:r>
                      <a:rPr lang="es-GT" sz="1100" b="0" i="1">
                        <a:latin typeface="Cambria Math" panose="02040503050406030204" pitchFamily="18" charset="0"/>
                      </a:rPr>
                      <m:t>𝑄</m:t>
                    </m:r>
                    <m:r>
                      <a:rPr lang="es-GT" sz="1100" b="0" i="1">
                        <a:latin typeface="Cambria Math" panose="02040503050406030204" pitchFamily="18" charset="0"/>
                      </a:rPr>
                      <m:t> 3100 </m:t>
                    </m:r>
                    <m:r>
                      <a:rPr lang="es-GT" sz="1100" b="0" i="1">
                        <a:latin typeface="Cambria Math" panose="02040503050406030204" pitchFamily="18" charset="0"/>
                      </a:rPr>
                      <m:t>𝑚𝑖𝑙𝑙𝑜𝑛𝑒𝑠</m:t>
                    </m:r>
                  </m:oMath>
                </m:oMathPara>
              </a14:m>
              <a:endParaRPr lang="es-GT" sz="1100"/>
            </a:p>
          </xdr:txBody>
        </xdr:sp>
      </mc:Choice>
      <mc:Fallback>
        <xdr:sp macro="" textlink="">
          <xdr:nvSpPr>
            <xdr:cNvPr id="16" name="CuadroTexto 15">
              <a:extLst>
                <a:ext uri="{FF2B5EF4-FFF2-40B4-BE49-F238E27FC236}">
                  <a16:creationId xmlns:a16="http://schemas.microsoft.com/office/drawing/2014/main" id="{B7779748-4665-13DB-65EA-705AD6A45FFB}"/>
                </a:ext>
              </a:extLst>
            </xdr:cNvPr>
            <xdr:cNvSpPr txBox="1"/>
          </xdr:nvSpPr>
          <xdr:spPr>
            <a:xfrm>
              <a:off x="8882062" y="7277100"/>
              <a:ext cx="151002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GT" sz="1100" b="0" i="0">
                  <a:latin typeface="Cambria Math" panose="02040503050406030204" pitchFamily="18" charset="0"/>
                </a:rPr>
                <a:t>𝐸𝐵𝐸=𝑄 3100 𝑚𝑖𝑙𝑙𝑜𝑛𝑒𝑠</a:t>
              </a:r>
              <a:endParaRPr lang="es-GT"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twoCellAnchor>
    <xdr:from>
      <xdr:col>1</xdr:col>
      <xdr:colOff>0</xdr:colOff>
      <xdr:row>33</xdr:row>
      <xdr:rowOff>0</xdr:rowOff>
    </xdr:from>
    <xdr:to>
      <xdr:col>10</xdr:col>
      <xdr:colOff>0</xdr:colOff>
      <xdr:row>49</xdr:row>
      <xdr:rowOff>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538162</xdr:colOff>
      <xdr:row>22</xdr:row>
      <xdr:rowOff>47625</xdr:rowOff>
    </xdr:from>
    <xdr:ext cx="3769173" cy="172227"/>
    <mc:AlternateContent xmlns:mc="http://schemas.openxmlformats.org/markup-compatibility/2006">
      <mc:Choice xmlns:a14="http://schemas.microsoft.com/office/drawing/2010/main" Requires="a14">
        <xdr:sp macro="" textlink="">
          <xdr:nvSpPr>
            <xdr:cNvPr id="5" name="CuadroTexto 4">
              <a:extLst>
                <a:ext uri="{FF2B5EF4-FFF2-40B4-BE49-F238E27FC236}">
                  <a16:creationId xmlns:a16="http://schemas.microsoft.com/office/drawing/2014/main" id="{A96E6DE5-6D91-FEB6-FFF2-4EA0DBC03613}"/>
                </a:ext>
              </a:extLst>
            </xdr:cNvPr>
            <xdr:cNvSpPr txBox="1"/>
          </xdr:nvSpPr>
          <xdr:spPr>
            <a:xfrm>
              <a:off x="9301162" y="5734050"/>
              <a:ext cx="376917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
                    <m:r>
                      <a:rPr lang="es-GT" sz="1100" b="0" i="1">
                        <a:latin typeface="Cambria Math" panose="02040503050406030204" pitchFamily="18" charset="0"/>
                      </a:rPr>
                      <m:t>𝑃𝐼</m:t>
                    </m:r>
                    <m:sSub>
                      <m:sSubPr>
                        <m:ctrlPr>
                          <a:rPr lang="es-GT" sz="1100" b="0" i="1">
                            <a:latin typeface="Cambria Math" panose="02040503050406030204" pitchFamily="18" charset="0"/>
                          </a:rPr>
                        </m:ctrlPr>
                      </m:sSubPr>
                      <m:e>
                        <m:r>
                          <a:rPr lang="es-GT" sz="1100" b="0" i="1">
                            <a:latin typeface="Cambria Math" panose="02040503050406030204" pitchFamily="18" charset="0"/>
                          </a:rPr>
                          <m:t>𝐵</m:t>
                        </m:r>
                      </m:e>
                      <m:sub>
                        <m:r>
                          <a:rPr lang="es-GT" sz="1100" b="0" i="1">
                            <a:latin typeface="Cambria Math" panose="02040503050406030204" pitchFamily="18" charset="0"/>
                          </a:rPr>
                          <m:t>𝑇𝑂𝑇𝐴𝐿</m:t>
                        </m:r>
                      </m:sub>
                    </m:sSub>
                    <m:r>
                      <a:rPr lang="es-GT" sz="1100" b="0" i="1">
                        <a:latin typeface="Cambria Math" panose="02040503050406030204" pitchFamily="18" charset="0"/>
                      </a:rPr>
                      <m:t>=</m:t>
                    </m:r>
                    <m:r>
                      <a:rPr lang="es-GT" sz="1100" b="0" i="1">
                        <a:latin typeface="Cambria Math" panose="02040503050406030204" pitchFamily="18" charset="0"/>
                      </a:rPr>
                      <m:t>𝑉𝐴𝐵</m:t>
                    </m:r>
                    <m:d>
                      <m:dPr>
                        <m:ctrlPr>
                          <a:rPr lang="es-GT" sz="1100" b="0" i="1">
                            <a:latin typeface="Cambria Math" panose="02040503050406030204" pitchFamily="18" charset="0"/>
                          </a:rPr>
                        </m:ctrlPr>
                      </m:dPr>
                      <m:e>
                        <m:r>
                          <a:rPr lang="es-GT" sz="1100" b="0" i="1">
                            <a:latin typeface="Cambria Math" panose="02040503050406030204" pitchFamily="18" charset="0"/>
                          </a:rPr>
                          <m:t>𝑡𝑜𝑑𝑎𝑠</m:t>
                        </m:r>
                        <m:r>
                          <a:rPr lang="es-GT" sz="1100" b="0" i="1">
                            <a:latin typeface="Cambria Math" panose="02040503050406030204" pitchFamily="18" charset="0"/>
                          </a:rPr>
                          <m:t> </m:t>
                        </m:r>
                        <m:r>
                          <a:rPr lang="es-GT" sz="1100" b="0" i="1">
                            <a:latin typeface="Cambria Math" panose="02040503050406030204" pitchFamily="18" charset="0"/>
                          </a:rPr>
                          <m:t>𝑙𝑎𝑠</m:t>
                        </m:r>
                        <m:r>
                          <a:rPr lang="es-GT" sz="1100" b="0" i="1">
                            <a:latin typeface="Cambria Math" panose="02040503050406030204" pitchFamily="18" charset="0"/>
                          </a:rPr>
                          <m:t> </m:t>
                        </m:r>
                        <m:r>
                          <a:rPr lang="es-GT" sz="1100" b="0" i="1">
                            <a:latin typeface="Cambria Math" panose="02040503050406030204" pitchFamily="18" charset="0"/>
                          </a:rPr>
                          <m:t>𝑎𝑐𝑡𝑖𝑣𝑖𝑑𝑎𝑑𝑒𝑠</m:t>
                        </m:r>
                      </m:e>
                    </m:d>
                    <m:r>
                      <a:rPr lang="es-GT" sz="1100" b="0" i="1">
                        <a:latin typeface="Cambria Math" panose="02040503050406030204" pitchFamily="18" charset="0"/>
                      </a:rPr>
                      <m:t>+</m:t>
                    </m:r>
                    <m:r>
                      <a:rPr lang="es-GT" sz="1100" b="0" i="1">
                        <a:latin typeface="Cambria Math" panose="02040503050406030204" pitchFamily="18" charset="0"/>
                      </a:rPr>
                      <m:t>𝐼𝑚𝑝𝑢𝑒𝑠𝑡𝑜𝑠</m:t>
                    </m:r>
                    <m:r>
                      <a:rPr lang="es-GT" sz="1100" b="0" i="1">
                        <a:latin typeface="Cambria Math" panose="02040503050406030204" pitchFamily="18" charset="0"/>
                      </a:rPr>
                      <m:t> </m:t>
                    </m:r>
                    <m:r>
                      <a:rPr lang="es-GT" sz="1100" b="0" i="1">
                        <a:latin typeface="Cambria Math" panose="02040503050406030204" pitchFamily="18" charset="0"/>
                      </a:rPr>
                      <m:t>𝑁𝑒𝑡𝑜𝑠</m:t>
                    </m:r>
                  </m:oMath>
                </m:oMathPara>
              </a14:m>
              <a:endParaRPr lang="es-GT" sz="1100"/>
            </a:p>
          </xdr:txBody>
        </xdr:sp>
      </mc:Choice>
      <mc:Fallback>
        <xdr:sp macro="" textlink="">
          <xdr:nvSpPr>
            <xdr:cNvPr id="5" name="CuadroTexto 4">
              <a:extLst>
                <a:ext uri="{FF2B5EF4-FFF2-40B4-BE49-F238E27FC236}">
                  <a16:creationId xmlns:a16="http://schemas.microsoft.com/office/drawing/2014/main" id="{A96E6DE5-6D91-FEB6-FFF2-4EA0DBC03613}"/>
                </a:ext>
              </a:extLst>
            </xdr:cNvPr>
            <xdr:cNvSpPr txBox="1"/>
          </xdr:nvSpPr>
          <xdr:spPr>
            <a:xfrm>
              <a:off x="9301162" y="5734050"/>
              <a:ext cx="376917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GT" sz="1100" b="0" i="0">
                  <a:latin typeface="Cambria Math" panose="02040503050406030204" pitchFamily="18" charset="0"/>
                </a:rPr>
                <a:t>𝑃𝐼𝐵_𝑇𝑂𝑇𝐴𝐿=𝑉𝐴𝐵(𝑡𝑜𝑑𝑎𝑠 𝑙𝑎𝑠 𝑎𝑐𝑡𝑖𝑣𝑖𝑑𝑎𝑑𝑒𝑠)+𝐼𝑚𝑝𝑢𝑒𝑠𝑡𝑜𝑠 𝑁𝑒𝑡𝑜𝑠</a:t>
              </a:r>
              <a:endParaRPr lang="es-GT" sz="1100"/>
            </a:p>
          </xdr:txBody>
        </xdr:sp>
      </mc:Fallback>
    </mc:AlternateContent>
    <xdr:clientData/>
  </xdr:oneCellAnchor>
  <xdr:oneCellAnchor>
    <xdr:from>
      <xdr:col>7</xdr:col>
      <xdr:colOff>500062</xdr:colOff>
      <xdr:row>23</xdr:row>
      <xdr:rowOff>133350</xdr:rowOff>
    </xdr:from>
    <xdr:ext cx="3202800" cy="172227"/>
    <mc:AlternateContent xmlns:mc="http://schemas.openxmlformats.org/markup-compatibility/2006">
      <mc:Choice xmlns:a14="http://schemas.microsoft.com/office/drawing/2010/main" Requires="a14">
        <xdr:sp macro="" textlink="">
          <xdr:nvSpPr>
            <xdr:cNvPr id="6" name="CuadroTexto 5">
              <a:extLst>
                <a:ext uri="{FF2B5EF4-FFF2-40B4-BE49-F238E27FC236}">
                  <a16:creationId xmlns:a16="http://schemas.microsoft.com/office/drawing/2014/main" id="{32B60D15-5897-EB55-F1E6-A01E906906C3}"/>
                </a:ext>
              </a:extLst>
            </xdr:cNvPr>
            <xdr:cNvSpPr txBox="1"/>
          </xdr:nvSpPr>
          <xdr:spPr>
            <a:xfrm>
              <a:off x="9263062" y="6000750"/>
              <a:ext cx="320280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
                    <m:r>
                      <a:rPr lang="es-GT" sz="1100" b="0" i="1">
                        <a:latin typeface="Cambria Math" panose="02040503050406030204" pitchFamily="18" charset="0"/>
                      </a:rPr>
                      <m:t>𝑃𝐼</m:t>
                    </m:r>
                    <m:sSub>
                      <m:sSubPr>
                        <m:ctrlPr>
                          <a:rPr lang="es-GT" sz="1100" b="0" i="1">
                            <a:latin typeface="Cambria Math" panose="02040503050406030204" pitchFamily="18" charset="0"/>
                          </a:rPr>
                        </m:ctrlPr>
                      </m:sSubPr>
                      <m:e>
                        <m:r>
                          <a:rPr lang="es-GT" sz="1100" b="0" i="1">
                            <a:latin typeface="Cambria Math" panose="02040503050406030204" pitchFamily="18" charset="0"/>
                          </a:rPr>
                          <m:t>𝐵</m:t>
                        </m:r>
                      </m:e>
                      <m:sub>
                        <m:r>
                          <a:rPr lang="es-GT" sz="1100" b="0" i="1">
                            <a:latin typeface="Cambria Math" panose="02040503050406030204" pitchFamily="18" charset="0"/>
                          </a:rPr>
                          <m:t>𝑇𝑂𝑇𝐴𝐿</m:t>
                        </m:r>
                      </m:sub>
                    </m:sSub>
                    <m:r>
                      <a:rPr lang="es-GT" sz="1100" b="0" i="1">
                        <a:latin typeface="Cambria Math" panose="02040503050406030204" pitchFamily="18" charset="0"/>
                      </a:rPr>
                      <m:t>=820,067.60+58,319.70=</m:t>
                    </m:r>
                    <m:r>
                      <a:rPr lang="es-GT" sz="1100" b="1" i="1">
                        <a:latin typeface="Cambria Math" panose="02040503050406030204" pitchFamily="18" charset="0"/>
                      </a:rPr>
                      <m:t>𝟖𝟕𝟖</m:t>
                    </m:r>
                    <m:r>
                      <a:rPr lang="es-GT" sz="1100" b="1" i="1">
                        <a:latin typeface="Cambria Math" panose="02040503050406030204" pitchFamily="18" charset="0"/>
                      </a:rPr>
                      <m:t>,</m:t>
                    </m:r>
                    <m:r>
                      <a:rPr lang="es-GT" sz="1100" b="1" i="1">
                        <a:latin typeface="Cambria Math" panose="02040503050406030204" pitchFamily="18" charset="0"/>
                      </a:rPr>
                      <m:t>𝟑𝟖𝟕</m:t>
                    </m:r>
                    <m:r>
                      <a:rPr lang="es-GT" sz="1100" b="1" i="1">
                        <a:latin typeface="Cambria Math" panose="02040503050406030204" pitchFamily="18" charset="0"/>
                      </a:rPr>
                      <m:t>.</m:t>
                    </m:r>
                    <m:r>
                      <a:rPr lang="es-GT" sz="1100" b="1" i="1">
                        <a:latin typeface="Cambria Math" panose="02040503050406030204" pitchFamily="18" charset="0"/>
                      </a:rPr>
                      <m:t>𝟑𝟎</m:t>
                    </m:r>
                  </m:oMath>
                </m:oMathPara>
              </a14:m>
              <a:endParaRPr lang="es-GT" sz="1100" b="1"/>
            </a:p>
          </xdr:txBody>
        </xdr:sp>
      </mc:Choice>
      <mc:Fallback>
        <xdr:sp macro="" textlink="">
          <xdr:nvSpPr>
            <xdr:cNvPr id="6" name="CuadroTexto 5">
              <a:extLst>
                <a:ext uri="{FF2B5EF4-FFF2-40B4-BE49-F238E27FC236}">
                  <a16:creationId xmlns:a16="http://schemas.microsoft.com/office/drawing/2014/main" id="{32B60D15-5897-EB55-F1E6-A01E906906C3}"/>
                </a:ext>
              </a:extLst>
            </xdr:cNvPr>
            <xdr:cNvSpPr txBox="1"/>
          </xdr:nvSpPr>
          <xdr:spPr>
            <a:xfrm>
              <a:off x="9263062" y="6000750"/>
              <a:ext cx="320280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GT" sz="1100" b="0" i="0">
                  <a:latin typeface="Cambria Math" panose="02040503050406030204" pitchFamily="18" charset="0"/>
                </a:rPr>
                <a:t>𝑃𝐼𝐵_𝑇𝑂𝑇𝐴𝐿=820,067.60+58,319.70=</a:t>
              </a:r>
              <a:r>
                <a:rPr lang="es-GT" sz="1100" b="1" i="0">
                  <a:latin typeface="Cambria Math" panose="02040503050406030204" pitchFamily="18" charset="0"/>
                </a:rPr>
                <a:t>𝟖𝟕𝟖,𝟑𝟖𝟕.𝟑𝟎</a:t>
              </a:r>
              <a:endParaRPr lang="es-GT" sz="1100" b="1"/>
            </a:p>
          </xdr:txBody>
        </xdr:sp>
      </mc:Fallback>
    </mc:AlternateContent>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2"/>
  <sheetViews>
    <sheetView showGridLines="0" tabSelected="1" zoomScale="125" workbookViewId="0">
      <selection activeCell="B29" sqref="B29:D32"/>
    </sheetView>
  </sheetViews>
  <sheetFormatPr baseColWidth="10" defaultColWidth="8.875" defaultRowHeight="14.25"/>
  <cols>
    <col min="1" max="1" width="3" customWidth="1"/>
    <col min="2" max="10" width="17" customWidth="1"/>
    <col min="11" max="11" width="3" customWidth="1"/>
  </cols>
  <sheetData>
    <row r="1" spans="1:11">
      <c r="A1" s="1"/>
      <c r="B1" s="1"/>
      <c r="C1" s="1"/>
      <c r="D1" s="1"/>
      <c r="E1" s="1"/>
      <c r="F1" s="1"/>
      <c r="G1" s="1"/>
      <c r="H1" s="1"/>
      <c r="I1" s="1"/>
      <c r="J1" s="1"/>
      <c r="K1" s="1"/>
    </row>
    <row r="2" spans="1:11">
      <c r="A2" s="1"/>
      <c r="B2" s="31" t="s">
        <v>0</v>
      </c>
      <c r="C2" s="31"/>
      <c r="D2" s="31"/>
      <c r="E2" s="31"/>
      <c r="F2" s="31"/>
      <c r="G2" s="31"/>
      <c r="H2" s="31"/>
      <c r="I2" s="31"/>
      <c r="J2" s="31"/>
      <c r="K2" s="1"/>
    </row>
    <row r="3" spans="1:11">
      <c r="A3" s="1"/>
      <c r="B3" s="31"/>
      <c r="C3" s="31"/>
      <c r="D3" s="31"/>
      <c r="E3" s="31"/>
      <c r="F3" s="31"/>
      <c r="G3" s="31"/>
      <c r="H3" s="31"/>
      <c r="I3" s="31"/>
      <c r="J3" s="31"/>
      <c r="K3" s="1"/>
    </row>
    <row r="4" spans="1:11" ht="18">
      <c r="A4" s="1"/>
      <c r="B4" s="32" t="s">
        <v>1</v>
      </c>
      <c r="C4" s="32"/>
      <c r="D4" s="32"/>
      <c r="E4" s="32"/>
      <c r="F4" s="32"/>
      <c r="G4" s="32"/>
      <c r="H4" s="32"/>
      <c r="I4" s="32"/>
      <c r="J4" s="32"/>
      <c r="K4" s="1"/>
    </row>
    <row r="5" spans="1:11" ht="6.75" customHeight="1">
      <c r="A5" s="1"/>
      <c r="B5" s="23"/>
      <c r="C5" s="23"/>
      <c r="D5" s="23"/>
      <c r="E5" s="23"/>
      <c r="F5" s="23"/>
      <c r="G5" s="23"/>
      <c r="H5" s="23"/>
      <c r="I5" s="23"/>
      <c r="J5" s="23"/>
      <c r="K5" s="1"/>
    </row>
    <row r="6" spans="1:11">
      <c r="A6" s="1"/>
      <c r="B6" s="1"/>
      <c r="C6" s="1"/>
      <c r="D6" s="1"/>
      <c r="E6" s="1"/>
      <c r="F6" s="1"/>
      <c r="G6" s="1"/>
      <c r="H6" s="1"/>
      <c r="I6" s="1"/>
      <c r="J6" s="1"/>
      <c r="K6" s="1"/>
    </row>
    <row r="7" spans="1:11">
      <c r="A7" s="1"/>
      <c r="B7" s="1"/>
      <c r="C7" s="1"/>
      <c r="D7" s="1"/>
      <c r="E7" s="1"/>
      <c r="F7" s="1"/>
      <c r="G7" s="1"/>
      <c r="H7" s="1"/>
      <c r="I7" s="1"/>
      <c r="J7" s="1"/>
      <c r="K7" s="1"/>
    </row>
    <row r="8" spans="1:11">
      <c r="A8" s="1"/>
      <c r="B8" s="33" t="s">
        <v>2</v>
      </c>
      <c r="C8" s="33"/>
      <c r="D8" s="33"/>
      <c r="E8" s="33"/>
      <c r="F8" s="33"/>
      <c r="G8" s="33"/>
      <c r="H8" s="33"/>
      <c r="I8" s="33"/>
      <c r="J8" s="33"/>
      <c r="K8" s="1"/>
    </row>
    <row r="9" spans="1:11">
      <c r="A9" s="1"/>
      <c r="B9" s="33"/>
      <c r="C9" s="33"/>
      <c r="D9" s="33"/>
      <c r="E9" s="33"/>
      <c r="F9" s="33"/>
      <c r="G9" s="33"/>
      <c r="H9" s="33"/>
      <c r="I9" s="33"/>
      <c r="J9" s="33"/>
      <c r="K9" s="1"/>
    </row>
    <row r="10" spans="1:11">
      <c r="A10" s="1"/>
      <c r="B10" s="33"/>
      <c r="C10" s="33"/>
      <c r="D10" s="33"/>
      <c r="E10" s="33"/>
      <c r="F10" s="33"/>
      <c r="G10" s="33"/>
      <c r="H10" s="33"/>
      <c r="I10" s="33"/>
      <c r="J10" s="33"/>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18" t="s">
        <v>3</v>
      </c>
      <c r="C13" s="18"/>
      <c r="D13" s="18"/>
      <c r="E13" s="18"/>
      <c r="F13" s="18"/>
      <c r="G13" s="18"/>
      <c r="H13" s="18"/>
      <c r="I13" s="18"/>
      <c r="J13" s="18"/>
      <c r="K13" s="1"/>
    </row>
    <row r="14" spans="1:11">
      <c r="A14" s="1"/>
      <c r="B14" s="2" t="s">
        <v>4</v>
      </c>
      <c r="C14" s="37" t="s">
        <v>129</v>
      </c>
      <c r="D14" s="37"/>
      <c r="E14" s="37"/>
      <c r="F14" s="2" t="s">
        <v>5</v>
      </c>
      <c r="G14" s="3">
        <v>92026041</v>
      </c>
      <c r="H14" s="3"/>
      <c r="I14" s="3"/>
      <c r="J14" s="3"/>
      <c r="K14" s="1"/>
    </row>
    <row r="15" spans="1:11">
      <c r="A15" s="1"/>
      <c r="B15" s="1"/>
      <c r="C15" s="1"/>
      <c r="D15" s="1"/>
      <c r="E15" s="1"/>
      <c r="F15" s="1"/>
      <c r="G15" s="1"/>
      <c r="H15" s="1"/>
      <c r="I15" s="1"/>
      <c r="J15" s="1"/>
      <c r="K15" s="1"/>
    </row>
    <row r="16" spans="1:11">
      <c r="A16" s="1"/>
      <c r="B16" s="2" t="s">
        <v>6</v>
      </c>
      <c r="C16" s="36">
        <v>46262</v>
      </c>
      <c r="D16" s="3"/>
      <c r="E16" s="3"/>
      <c r="F16" s="2" t="s">
        <v>7</v>
      </c>
      <c r="G16" s="3"/>
      <c r="H16" s="3"/>
      <c r="I16" s="3"/>
      <c r="J16" s="3"/>
      <c r="K16" s="1"/>
    </row>
    <row r="17" spans="1:11">
      <c r="A17" s="1"/>
      <c r="B17" s="1"/>
      <c r="C17" s="1"/>
      <c r="D17" s="1"/>
      <c r="E17" s="1"/>
      <c r="F17" s="1"/>
      <c r="G17" s="1"/>
      <c r="H17" s="1"/>
      <c r="I17" s="1"/>
      <c r="J17" s="1"/>
      <c r="K17" s="1"/>
    </row>
    <row r="18" spans="1:11">
      <c r="A18" s="1"/>
      <c r="B18" s="1"/>
      <c r="C18" s="1"/>
      <c r="D18" s="1"/>
      <c r="E18" s="1"/>
      <c r="F18" s="1"/>
      <c r="G18" s="1"/>
      <c r="H18" s="1"/>
      <c r="I18" s="1"/>
      <c r="J18" s="1"/>
      <c r="K18" s="1"/>
    </row>
    <row r="19" spans="1:11" ht="30.75" customHeight="1">
      <c r="A19" s="1"/>
      <c r="B19" s="18" t="s">
        <v>8</v>
      </c>
      <c r="C19" s="18"/>
      <c r="D19" s="18"/>
      <c r="E19" s="18"/>
      <c r="F19" s="18"/>
      <c r="G19" s="18"/>
      <c r="H19" s="18"/>
      <c r="I19" s="18"/>
      <c r="J19" s="18"/>
      <c r="K19" s="1"/>
    </row>
    <row r="20" spans="1:11" ht="32.1" customHeight="1">
      <c r="A20" s="1"/>
      <c r="B20" s="30" t="s">
        <v>9</v>
      </c>
      <c r="C20" s="30"/>
      <c r="D20" s="30"/>
      <c r="E20" s="30"/>
      <c r="F20" s="30"/>
      <c r="G20" s="30"/>
      <c r="H20" s="30"/>
      <c r="I20" s="30"/>
      <c r="J20" s="30"/>
      <c r="K20" s="1"/>
    </row>
    <row r="21" spans="1:11" ht="32.1" customHeight="1">
      <c r="A21" s="1"/>
      <c r="B21" s="30" t="s">
        <v>10</v>
      </c>
      <c r="C21" s="30"/>
      <c r="D21" s="30"/>
      <c r="E21" s="30"/>
      <c r="F21" s="30"/>
      <c r="G21" s="30"/>
      <c r="H21" s="30"/>
      <c r="I21" s="30"/>
      <c r="J21" s="30"/>
      <c r="K21" s="1"/>
    </row>
    <row r="22" spans="1:11" ht="32.1" customHeight="1">
      <c r="A22" s="1"/>
      <c r="B22" s="30" t="s">
        <v>11</v>
      </c>
      <c r="C22" s="30"/>
      <c r="D22" s="30"/>
      <c r="E22" s="30"/>
      <c r="F22" s="30"/>
      <c r="G22" s="30"/>
      <c r="H22" s="30"/>
      <c r="I22" s="30"/>
      <c r="J22" s="30"/>
      <c r="K22" s="1"/>
    </row>
    <row r="23" spans="1:11" ht="32.1" customHeight="1">
      <c r="A23" s="1"/>
      <c r="B23" s="30" t="s">
        <v>12</v>
      </c>
      <c r="C23" s="30"/>
      <c r="D23" s="30"/>
      <c r="E23" s="30"/>
      <c r="F23" s="30"/>
      <c r="G23" s="30"/>
      <c r="H23" s="30"/>
      <c r="I23" s="30"/>
      <c r="J23" s="30"/>
      <c r="K23" s="1"/>
    </row>
    <row r="24" spans="1:11" ht="32.1" customHeight="1">
      <c r="A24" s="1"/>
      <c r="B24" s="30" t="s">
        <v>128</v>
      </c>
      <c r="C24" s="30"/>
      <c r="D24" s="30"/>
      <c r="E24" s="30"/>
      <c r="F24" s="30"/>
      <c r="G24" s="30"/>
      <c r="H24" s="30"/>
      <c r="I24" s="30"/>
      <c r="J24" s="30"/>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ht="30.75" customHeight="1">
      <c r="A27" s="1"/>
      <c r="B27" s="18" t="s">
        <v>13</v>
      </c>
      <c r="C27" s="18"/>
      <c r="D27" s="18"/>
      <c r="E27" s="18"/>
      <c r="F27" s="18"/>
      <c r="G27" s="18"/>
      <c r="H27" s="18"/>
      <c r="I27" s="18"/>
      <c r="J27" s="18"/>
      <c r="K27" s="1"/>
    </row>
    <row r="28" spans="1:11">
      <c r="A28" s="1"/>
      <c r="B28" s="1"/>
      <c r="C28" s="1"/>
      <c r="D28" s="1"/>
      <c r="E28" s="1"/>
      <c r="F28" s="1"/>
      <c r="G28" s="1"/>
      <c r="H28" s="1"/>
      <c r="I28" s="1"/>
      <c r="J28" s="1"/>
      <c r="K28" s="1"/>
    </row>
    <row r="29" spans="1:11">
      <c r="A29" s="1"/>
      <c r="B29" s="26" t="s">
        <v>14</v>
      </c>
      <c r="C29" s="26"/>
      <c r="D29" s="26"/>
      <c r="E29" s="26" t="s">
        <v>15</v>
      </c>
      <c r="F29" s="26"/>
      <c r="G29" s="26"/>
      <c r="H29" s="26" t="s">
        <v>16</v>
      </c>
      <c r="I29" s="26"/>
      <c r="J29" s="26"/>
      <c r="K29" s="1"/>
    </row>
    <row r="30" spans="1:11">
      <c r="A30" s="1"/>
      <c r="B30" s="26"/>
      <c r="C30" s="26"/>
      <c r="D30" s="26"/>
      <c r="E30" s="26"/>
      <c r="F30" s="26"/>
      <c r="G30" s="26"/>
      <c r="H30" s="26"/>
      <c r="I30" s="26"/>
      <c r="J30" s="26"/>
      <c r="K30" s="1"/>
    </row>
    <row r="31" spans="1:11">
      <c r="A31" s="1"/>
      <c r="B31" s="26"/>
      <c r="C31" s="26"/>
      <c r="D31" s="26"/>
      <c r="E31" s="26"/>
      <c r="F31" s="26"/>
      <c r="G31" s="26"/>
      <c r="H31" s="26"/>
      <c r="I31" s="26"/>
      <c r="J31" s="26"/>
      <c r="K31" s="1"/>
    </row>
    <row r="32" spans="1:11">
      <c r="A32" s="1"/>
      <c r="B32" s="26"/>
      <c r="C32" s="26"/>
      <c r="D32" s="26"/>
      <c r="E32" s="26"/>
      <c r="F32" s="26"/>
      <c r="G32" s="26"/>
      <c r="H32" s="26"/>
      <c r="I32" s="26"/>
      <c r="J32" s="26"/>
      <c r="K32" s="1"/>
    </row>
    <row r="33" spans="1:11">
      <c r="A33" s="1"/>
      <c r="B33" s="1"/>
      <c r="C33" s="1"/>
      <c r="D33" s="1"/>
      <c r="E33" s="1"/>
      <c r="F33" s="1"/>
      <c r="G33" s="1"/>
      <c r="H33" s="1"/>
      <c r="I33" s="1"/>
      <c r="J33" s="1"/>
      <c r="K33" s="1"/>
    </row>
    <row r="34" spans="1:11">
      <c r="A34" s="1"/>
      <c r="B34" s="26" t="s">
        <v>17</v>
      </c>
      <c r="C34" s="26"/>
      <c r="D34" s="26"/>
      <c r="E34" s="26"/>
      <c r="F34" s="27" t="s">
        <v>18</v>
      </c>
      <c r="G34" s="27"/>
      <c r="H34" s="27"/>
      <c r="I34" s="27"/>
      <c r="J34" s="27"/>
      <c r="K34" s="1"/>
    </row>
    <row r="35" spans="1:11">
      <c r="A35" s="1"/>
      <c r="B35" s="26"/>
      <c r="C35" s="26"/>
      <c r="D35" s="26"/>
      <c r="E35" s="26"/>
      <c r="F35" s="27"/>
      <c r="G35" s="27"/>
      <c r="H35" s="27"/>
      <c r="I35" s="27"/>
      <c r="J35" s="27"/>
      <c r="K35" s="1"/>
    </row>
    <row r="36" spans="1:11">
      <c r="A36" s="1"/>
      <c r="B36" s="26"/>
      <c r="C36" s="26"/>
      <c r="D36" s="26"/>
      <c r="E36" s="26"/>
      <c r="F36" s="27"/>
      <c r="G36" s="27"/>
      <c r="H36" s="27"/>
      <c r="I36" s="27"/>
      <c r="J36" s="27"/>
      <c r="K36" s="1"/>
    </row>
    <row r="37" spans="1:11">
      <c r="A37" s="1"/>
      <c r="B37" s="26"/>
      <c r="C37" s="26"/>
      <c r="D37" s="26"/>
      <c r="E37" s="26"/>
      <c r="F37" s="27"/>
      <c r="G37" s="27"/>
      <c r="H37" s="27"/>
      <c r="I37" s="27"/>
      <c r="J37" s="27"/>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ht="30.75" customHeight="1">
      <c r="A40" s="1"/>
      <c r="B40" s="18" t="s">
        <v>19</v>
      </c>
      <c r="C40" s="18"/>
      <c r="D40" s="18"/>
      <c r="E40" s="18"/>
      <c r="F40" s="18"/>
      <c r="G40" s="18"/>
      <c r="H40" s="18"/>
      <c r="I40" s="18"/>
      <c r="J40" s="18"/>
      <c r="K40" s="1"/>
    </row>
    <row r="41" spans="1:11">
      <c r="A41" s="1"/>
      <c r="B41" s="28" t="s">
        <v>20</v>
      </c>
      <c r="C41" s="28"/>
      <c r="D41" s="28"/>
      <c r="E41" s="17" t="s">
        <v>21</v>
      </c>
      <c r="F41" s="17"/>
      <c r="G41" s="17"/>
      <c r="H41" s="29" t="s">
        <v>22</v>
      </c>
      <c r="I41" s="29"/>
      <c r="J41" s="29"/>
      <c r="K41" s="1"/>
    </row>
    <row r="42" spans="1:11">
      <c r="A42" s="1"/>
      <c r="B42" s="28"/>
      <c r="C42" s="28"/>
      <c r="D42" s="28"/>
      <c r="E42" s="17"/>
      <c r="F42" s="17"/>
      <c r="G42" s="17"/>
      <c r="H42" s="29"/>
      <c r="I42" s="29"/>
      <c r="J42" s="29"/>
      <c r="K42" s="1"/>
    </row>
    <row r="43" spans="1:11">
      <c r="A43" s="1"/>
      <c r="B43" s="28"/>
      <c r="C43" s="28"/>
      <c r="D43" s="28"/>
      <c r="E43" s="17"/>
      <c r="F43" s="17"/>
      <c r="G43" s="17"/>
      <c r="H43" s="29"/>
      <c r="I43" s="29"/>
      <c r="J43" s="29"/>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sheetData>
  <mergeCells count="21">
    <mergeCell ref="B2:J3"/>
    <mergeCell ref="B4:J4"/>
    <mergeCell ref="B5:J5"/>
    <mergeCell ref="B8:J10"/>
    <mergeCell ref="B13:J13"/>
    <mergeCell ref="B19:J19"/>
    <mergeCell ref="B20:J20"/>
    <mergeCell ref="B21:J21"/>
    <mergeCell ref="B22:J22"/>
    <mergeCell ref="B23:J23"/>
    <mergeCell ref="B24:J24"/>
    <mergeCell ref="B27:J27"/>
    <mergeCell ref="B29:D32"/>
    <mergeCell ref="E29:G32"/>
    <mergeCell ref="H29:J32"/>
    <mergeCell ref="B34:E37"/>
    <mergeCell ref="F34:J37"/>
    <mergeCell ref="B40:J40"/>
    <mergeCell ref="B41:D43"/>
    <mergeCell ref="E41:G43"/>
    <mergeCell ref="H41:J4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0"/>
  <sheetViews>
    <sheetView showGridLines="0" topLeftCell="A7" workbookViewId="0">
      <selection activeCell="E25" sqref="E25:G25"/>
    </sheetView>
  </sheetViews>
  <sheetFormatPr baseColWidth="10" defaultColWidth="8.875" defaultRowHeight="14.25"/>
  <cols>
    <col min="1" max="1" width="3" customWidth="1"/>
    <col min="2" max="2" width="29" customWidth="1"/>
    <col min="3" max="3" width="16" customWidth="1"/>
    <col min="4" max="4" width="18" customWidth="1"/>
    <col min="5" max="5" width="17" customWidth="1"/>
    <col min="6" max="6" width="18" customWidth="1"/>
    <col min="7" max="7" width="4" customWidth="1"/>
    <col min="8" max="10" width="22" customWidth="1"/>
    <col min="11" max="11" width="3" customWidth="1"/>
  </cols>
  <sheetData>
    <row r="1" spans="1:11">
      <c r="A1" s="1"/>
      <c r="B1" s="1"/>
      <c r="C1" s="1"/>
      <c r="D1" s="1"/>
      <c r="E1" s="1"/>
      <c r="F1" s="1"/>
      <c r="G1" s="1"/>
      <c r="H1" s="1"/>
      <c r="I1" s="1"/>
      <c r="J1" s="1"/>
      <c r="K1" s="1"/>
    </row>
    <row r="2" spans="1:11" ht="45.2" customHeight="1">
      <c r="A2" s="1"/>
      <c r="B2" s="21" t="s">
        <v>23</v>
      </c>
      <c r="C2" s="21"/>
      <c r="D2" s="21"/>
      <c r="E2" s="21"/>
      <c r="F2" s="21"/>
      <c r="G2" s="21"/>
      <c r="H2" s="21"/>
      <c r="I2" s="21"/>
      <c r="J2" s="21"/>
      <c r="K2" s="1"/>
    </row>
    <row r="3" spans="1:11" ht="30.75" customHeight="1">
      <c r="A3" s="1"/>
      <c r="B3" s="22" t="s">
        <v>24</v>
      </c>
      <c r="C3" s="22"/>
      <c r="D3" s="22"/>
      <c r="E3" s="22"/>
      <c r="F3" s="22"/>
      <c r="G3" s="22"/>
      <c r="H3" s="22"/>
      <c r="I3" s="22"/>
      <c r="J3" s="22"/>
      <c r="K3" s="1"/>
    </row>
    <row r="4" spans="1:11" ht="6.75" customHeight="1">
      <c r="A4" s="1"/>
      <c r="B4" s="23"/>
      <c r="C4" s="23"/>
      <c r="D4" s="23"/>
      <c r="E4" s="23"/>
      <c r="F4" s="23"/>
      <c r="G4" s="23"/>
      <c r="H4" s="23"/>
      <c r="I4" s="23"/>
      <c r="J4" s="23"/>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8" t="s">
        <v>25</v>
      </c>
      <c r="C7" s="18"/>
      <c r="D7" s="18"/>
      <c r="E7" s="18"/>
      <c r="F7" s="18"/>
      <c r="G7" s="1"/>
      <c r="H7" s="1"/>
      <c r="I7" s="1"/>
      <c r="J7" s="1"/>
      <c r="K7" s="1"/>
    </row>
    <row r="8" spans="1:11" ht="37.35" customHeight="1">
      <c r="A8" s="1"/>
      <c r="B8" s="4" t="s">
        <v>26</v>
      </c>
      <c r="C8" s="4" t="s">
        <v>27</v>
      </c>
      <c r="D8" s="4" t="s">
        <v>28</v>
      </c>
      <c r="E8" s="4" t="s">
        <v>29</v>
      </c>
      <c r="F8" s="4" t="s">
        <v>30</v>
      </c>
      <c r="G8" s="1"/>
      <c r="H8" s="1"/>
      <c r="I8" s="1"/>
      <c r="J8" s="1"/>
      <c r="K8" s="1"/>
    </row>
    <row r="9" spans="1:11">
      <c r="A9" s="1"/>
      <c r="B9" s="5" t="s">
        <v>31</v>
      </c>
      <c r="C9" s="6">
        <v>1650</v>
      </c>
      <c r="D9" s="6">
        <v>620</v>
      </c>
      <c r="E9" s="7">
        <f>C9-D9</f>
        <v>1030</v>
      </c>
      <c r="F9" s="8">
        <f>E9/$E$21</f>
        <v>0.2536945812807882</v>
      </c>
      <c r="G9" s="1"/>
      <c r="H9" s="1"/>
      <c r="I9" s="1"/>
      <c r="J9" s="1"/>
      <c r="K9" s="1"/>
    </row>
    <row r="10" spans="1:11">
      <c r="A10" s="1"/>
      <c r="B10" s="5" t="s">
        <v>32</v>
      </c>
      <c r="C10" s="6">
        <v>2900</v>
      </c>
      <c r="D10" s="6">
        <v>1750</v>
      </c>
      <c r="E10" s="7">
        <f t="shared" ref="E10:E12" si="0">C10-D10</f>
        <v>1150</v>
      </c>
      <c r="F10" s="8">
        <f t="shared" ref="F10:F12" si="1">E10/$E$21</f>
        <v>0.28325123152709358</v>
      </c>
      <c r="G10" s="1"/>
      <c r="H10" s="1"/>
      <c r="I10" s="1"/>
      <c r="J10" s="1"/>
      <c r="K10" s="1"/>
    </row>
    <row r="11" spans="1:11">
      <c r="A11" s="1"/>
      <c r="B11" s="5" t="s">
        <v>33</v>
      </c>
      <c r="C11" s="6">
        <v>1250</v>
      </c>
      <c r="D11" s="6">
        <v>720</v>
      </c>
      <c r="E11" s="7">
        <f t="shared" si="0"/>
        <v>530</v>
      </c>
      <c r="F11" s="8">
        <f t="shared" si="1"/>
        <v>0.13054187192118227</v>
      </c>
      <c r="G11" s="1"/>
      <c r="H11" s="1"/>
      <c r="I11" s="1"/>
      <c r="J11" s="1"/>
      <c r="K11" s="1"/>
    </row>
    <row r="12" spans="1:11">
      <c r="A12" s="1"/>
      <c r="B12" s="5" t="s">
        <v>34</v>
      </c>
      <c r="C12" s="6">
        <v>2400</v>
      </c>
      <c r="D12" s="6">
        <v>1050</v>
      </c>
      <c r="E12" s="7">
        <f t="shared" si="0"/>
        <v>1350</v>
      </c>
      <c r="F12" s="40">
        <f t="shared" si="1"/>
        <v>0.33251231527093594</v>
      </c>
      <c r="G12" s="1"/>
      <c r="H12" s="1"/>
      <c r="I12" s="1"/>
      <c r="J12" s="1"/>
      <c r="K12" s="1"/>
    </row>
    <row r="13" spans="1:11">
      <c r="A13" s="1"/>
      <c r="B13" s="1"/>
      <c r="C13" s="1"/>
      <c r="D13" s="1"/>
      <c r="E13" s="38"/>
      <c r="F13" s="1"/>
      <c r="G13" s="1"/>
      <c r="H13" s="1"/>
      <c r="I13" s="1"/>
      <c r="J13" s="1"/>
      <c r="K13" s="1"/>
    </row>
    <row r="14" spans="1:11">
      <c r="A14" s="1"/>
      <c r="B14" s="1"/>
      <c r="C14" s="1"/>
      <c r="D14" s="1"/>
      <c r="E14" s="1"/>
      <c r="F14" s="1"/>
      <c r="G14" s="1"/>
      <c r="H14" s="1"/>
      <c r="I14" s="1"/>
      <c r="J14" s="1"/>
      <c r="K14" s="1"/>
    </row>
    <row r="15" spans="1:11" ht="30.75" customHeight="1">
      <c r="A15" s="1"/>
      <c r="B15" s="18" t="s">
        <v>35</v>
      </c>
      <c r="C15" s="18"/>
      <c r="D15" s="18"/>
      <c r="E15" s="18"/>
      <c r="F15" s="18"/>
      <c r="G15" s="1"/>
      <c r="H15" s="1"/>
      <c r="I15" s="1"/>
      <c r="J15" s="1"/>
      <c r="K15" s="1"/>
    </row>
    <row r="16" spans="1:11">
      <c r="A16" s="1"/>
      <c r="B16" s="5" t="s">
        <v>36</v>
      </c>
      <c r="C16" s="6">
        <v>420</v>
      </c>
      <c r="D16" s="1"/>
      <c r="E16" s="1"/>
      <c r="F16" s="1"/>
      <c r="G16" s="1"/>
      <c r="H16" s="1"/>
      <c r="I16" s="1"/>
      <c r="J16" s="1"/>
      <c r="K16" s="1"/>
    </row>
    <row r="17" spans="1:11">
      <c r="A17" s="1"/>
      <c r="B17" s="5" t="s">
        <v>37</v>
      </c>
      <c r="C17" s="6">
        <v>40</v>
      </c>
      <c r="D17" s="1"/>
      <c r="E17" s="1"/>
      <c r="F17" s="1"/>
      <c r="G17" s="1"/>
      <c r="H17" s="1"/>
      <c r="I17" s="1"/>
      <c r="J17" s="1"/>
      <c r="K17" s="1"/>
    </row>
    <row r="18" spans="1:11">
      <c r="A18" s="1"/>
      <c r="B18" s="1"/>
      <c r="C18" s="1"/>
      <c r="D18" s="1"/>
      <c r="E18" s="1"/>
      <c r="F18" s="1"/>
      <c r="G18" s="1"/>
      <c r="H18" s="1"/>
      <c r="I18" s="1"/>
      <c r="J18" s="1"/>
      <c r="K18" s="1"/>
    </row>
    <row r="19" spans="1:11">
      <c r="A19" s="1"/>
      <c r="B19" s="1"/>
      <c r="C19" s="1"/>
      <c r="D19" s="1"/>
      <c r="E19" s="1"/>
      <c r="F19" s="1"/>
      <c r="G19" s="1"/>
      <c r="H19" s="1"/>
      <c r="I19" s="1"/>
      <c r="J19" s="1"/>
      <c r="K19" s="1"/>
    </row>
    <row r="20" spans="1:11" ht="30.75" customHeight="1">
      <c r="A20" s="1"/>
      <c r="B20" s="18" t="s">
        <v>38</v>
      </c>
      <c r="C20" s="18"/>
      <c r="D20" s="18"/>
      <c r="E20" s="18"/>
      <c r="F20" s="18"/>
      <c r="G20" s="18"/>
      <c r="H20" s="1"/>
      <c r="I20" s="1"/>
      <c r="J20" s="1"/>
      <c r="K20" s="1"/>
    </row>
    <row r="21" spans="1:11" ht="33.200000000000003" customHeight="1">
      <c r="A21" s="1"/>
      <c r="B21" s="20" t="s">
        <v>39</v>
      </c>
      <c r="C21" s="20"/>
      <c r="D21" s="20"/>
      <c r="E21" s="39">
        <f>SUM(E9:E12)</f>
        <v>4060</v>
      </c>
      <c r="F21" s="16"/>
      <c r="G21" s="16"/>
      <c r="H21" s="1"/>
      <c r="I21" s="1"/>
      <c r="J21" s="1"/>
      <c r="K21" s="1"/>
    </row>
    <row r="22" spans="1:11">
      <c r="A22" s="1"/>
      <c r="B22" s="1"/>
      <c r="C22" s="1"/>
      <c r="D22" s="1"/>
      <c r="E22" s="1"/>
      <c r="F22" s="1"/>
      <c r="G22" s="1"/>
      <c r="H22" s="1"/>
      <c r="I22" s="1"/>
      <c r="J22" s="1"/>
      <c r="K22" s="1"/>
    </row>
    <row r="23" spans="1:11" ht="33.200000000000003" customHeight="1">
      <c r="A23" s="1"/>
      <c r="B23" s="20" t="s">
        <v>40</v>
      </c>
      <c r="C23" s="20"/>
      <c r="D23" s="20"/>
      <c r="E23" s="39">
        <f>C16-C17</f>
        <v>380</v>
      </c>
      <c r="F23" s="16"/>
      <c r="G23" s="16"/>
      <c r="H23" s="1"/>
      <c r="I23" s="1"/>
      <c r="J23" s="1"/>
      <c r="K23" s="1"/>
    </row>
    <row r="24" spans="1:11">
      <c r="A24" s="1"/>
      <c r="B24" s="1"/>
      <c r="C24" s="1"/>
      <c r="D24" s="1"/>
      <c r="E24" s="1"/>
      <c r="F24" s="1"/>
      <c r="G24" s="1"/>
      <c r="H24" s="1"/>
      <c r="I24" s="1"/>
      <c r="J24" s="1"/>
      <c r="K24" s="1"/>
    </row>
    <row r="25" spans="1:11" ht="33.200000000000003" customHeight="1">
      <c r="A25" s="1"/>
      <c r="B25" s="20" t="s">
        <v>41</v>
      </c>
      <c r="C25" s="20"/>
      <c r="D25" s="20"/>
      <c r="E25" s="39">
        <f>E21+E23</f>
        <v>4440</v>
      </c>
      <c r="F25" s="16"/>
      <c r="G25" s="16"/>
      <c r="H25" s="1"/>
      <c r="I25" s="1"/>
      <c r="J25" s="1"/>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18" t="s">
        <v>42</v>
      </c>
      <c r="C28" s="18"/>
      <c r="D28" s="18"/>
      <c r="E28" s="18"/>
      <c r="F28" s="18"/>
      <c r="G28" s="18"/>
      <c r="H28" s="1"/>
      <c r="I28" s="1"/>
      <c r="J28" s="1"/>
      <c r="K28" s="1"/>
    </row>
    <row r="29" spans="1:11">
      <c r="A29" s="1"/>
      <c r="B29" s="19" t="s">
        <v>43</v>
      </c>
      <c r="C29" s="19"/>
      <c r="D29" s="19"/>
      <c r="E29" s="19"/>
      <c r="F29" s="19"/>
      <c r="G29" s="19"/>
      <c r="H29" s="1"/>
      <c r="I29" s="1"/>
      <c r="J29" s="1"/>
      <c r="K29" s="1"/>
    </row>
    <row r="30" spans="1:11">
      <c r="A30" s="1"/>
      <c r="B30" s="19"/>
      <c r="C30" s="19"/>
      <c r="D30" s="19"/>
      <c r="E30" s="19"/>
      <c r="F30" s="19"/>
      <c r="G30" s="19"/>
      <c r="H30" s="1"/>
      <c r="I30" s="1"/>
      <c r="J30" s="1"/>
      <c r="K30" s="1"/>
    </row>
    <row r="31" spans="1:11">
      <c r="A31" s="1"/>
      <c r="B31" s="19"/>
      <c r="C31" s="19"/>
      <c r="D31" s="19"/>
      <c r="E31" s="19"/>
      <c r="F31" s="19"/>
      <c r="G31" s="19"/>
      <c r="H31" s="1"/>
      <c r="I31" s="1"/>
      <c r="J31" s="1"/>
      <c r="K31" s="1"/>
    </row>
    <row r="32" spans="1:11">
      <c r="A32" s="1"/>
      <c r="B32" s="19"/>
      <c r="C32" s="19"/>
      <c r="D32" s="19"/>
      <c r="E32" s="19"/>
      <c r="F32" s="19"/>
      <c r="G32" s="19"/>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ht="30.75" customHeight="1">
      <c r="A35" s="1"/>
      <c r="B35" s="13" t="s">
        <v>44</v>
      </c>
      <c r="C35" s="13"/>
      <c r="D35" s="13"/>
      <c r="E35" s="13"/>
      <c r="F35" s="13"/>
      <c r="G35" s="13"/>
      <c r="H35" s="13"/>
      <c r="I35" s="13"/>
      <c r="J35" s="13"/>
      <c r="K35" s="1"/>
    </row>
    <row r="36" spans="1:11">
      <c r="A36" s="1"/>
      <c r="B36" s="14" t="s">
        <v>45</v>
      </c>
      <c r="C36" s="14"/>
      <c r="D36" s="14"/>
      <c r="E36" s="14"/>
      <c r="F36" s="14"/>
      <c r="G36" s="14"/>
      <c r="H36" s="14"/>
      <c r="I36" s="14"/>
      <c r="J36" s="14"/>
      <c r="K36" s="1"/>
    </row>
    <row r="37" spans="1:11">
      <c r="A37" s="1"/>
      <c r="B37" s="14"/>
      <c r="C37" s="14"/>
      <c r="D37" s="14"/>
      <c r="E37" s="14"/>
      <c r="F37" s="14"/>
      <c r="G37" s="14"/>
      <c r="H37" s="14"/>
      <c r="I37" s="14"/>
      <c r="J37" s="14"/>
      <c r="K37" s="1"/>
    </row>
    <row r="38" spans="1:11">
      <c r="A38" s="1"/>
      <c r="B38" s="14"/>
      <c r="C38" s="14"/>
      <c r="D38" s="14"/>
      <c r="E38" s="14"/>
      <c r="F38" s="14"/>
      <c r="G38" s="14"/>
      <c r="H38" s="14"/>
      <c r="I38" s="14"/>
      <c r="J38" s="14"/>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ht="41.25" customHeight="1">
      <c r="A41" s="1"/>
      <c r="B41" s="15" t="s">
        <v>46</v>
      </c>
      <c r="C41" s="15"/>
      <c r="D41" s="15"/>
      <c r="E41" s="15"/>
      <c r="F41" s="15"/>
      <c r="G41" s="15"/>
      <c r="H41" s="15"/>
      <c r="I41" s="15"/>
      <c r="J41" s="15"/>
      <c r="K41" s="1"/>
    </row>
    <row r="42" spans="1:11" ht="32.1" customHeight="1">
      <c r="A42" s="1"/>
      <c r="B42" s="12" t="s">
        <v>130</v>
      </c>
      <c r="C42" s="12"/>
      <c r="D42" s="12"/>
      <c r="E42" s="12"/>
      <c r="F42" s="12"/>
      <c r="G42" s="12"/>
      <c r="H42" s="12"/>
      <c r="I42" s="12"/>
      <c r="J42" s="12"/>
      <c r="K42" s="1"/>
    </row>
    <row r="43" spans="1:11" ht="32.1" customHeight="1">
      <c r="A43" s="1"/>
      <c r="B43" s="12"/>
      <c r="C43" s="12"/>
      <c r="D43" s="12"/>
      <c r="E43" s="12"/>
      <c r="F43" s="12"/>
      <c r="G43" s="12"/>
      <c r="H43" s="12"/>
      <c r="I43" s="12"/>
      <c r="J43" s="12"/>
      <c r="K43" s="1"/>
    </row>
    <row r="44" spans="1:11" ht="32.1" customHeight="1">
      <c r="A44" s="1"/>
      <c r="B44" s="12"/>
      <c r="C44" s="12"/>
      <c r="D44" s="12"/>
      <c r="E44" s="12"/>
      <c r="F44" s="12"/>
      <c r="G44" s="12"/>
      <c r="H44" s="12"/>
      <c r="I44" s="12"/>
      <c r="J44" s="12"/>
      <c r="K44" s="1"/>
    </row>
    <row r="45" spans="1:11" ht="32.1" customHeight="1">
      <c r="A45" s="1"/>
      <c r="B45" s="12"/>
      <c r="C45" s="12"/>
      <c r="D45" s="12"/>
      <c r="E45" s="12"/>
      <c r="F45" s="12"/>
      <c r="G45" s="12"/>
      <c r="H45" s="12"/>
      <c r="I45" s="12"/>
      <c r="J45" s="12"/>
      <c r="K45" s="1"/>
    </row>
    <row r="46" spans="1:11" ht="32.1" customHeight="1">
      <c r="A46" s="1"/>
      <c r="B46" s="12"/>
      <c r="C46" s="12"/>
      <c r="D46" s="12"/>
      <c r="E46" s="12"/>
      <c r="F46" s="12"/>
      <c r="G46" s="12"/>
      <c r="H46" s="12"/>
      <c r="I46" s="12"/>
      <c r="J46" s="12"/>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sheetData>
  <mergeCells count="18">
    <mergeCell ref="B2:J2"/>
    <mergeCell ref="B3:J3"/>
    <mergeCell ref="B4:J4"/>
    <mergeCell ref="B7:F7"/>
    <mergeCell ref="B15:F15"/>
    <mergeCell ref="B20:G20"/>
    <mergeCell ref="B21:D21"/>
    <mergeCell ref="E21:G21"/>
    <mergeCell ref="B23:D23"/>
    <mergeCell ref="E23:G23"/>
    <mergeCell ref="B36:J38"/>
    <mergeCell ref="B41:J41"/>
    <mergeCell ref="B42:J46"/>
    <mergeCell ref="B25:D25"/>
    <mergeCell ref="E25:G25"/>
    <mergeCell ref="B28:G28"/>
    <mergeCell ref="B29:G32"/>
    <mergeCell ref="B35:J3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2"/>
  <sheetViews>
    <sheetView showGridLines="0" workbookViewId="0">
      <selection activeCell="B48" sqref="B48"/>
    </sheetView>
  </sheetViews>
  <sheetFormatPr baseColWidth="10" defaultColWidth="8.875" defaultRowHeight="14.25"/>
  <cols>
    <col min="1" max="1" width="3" customWidth="1"/>
    <col min="2" max="2" width="37" customWidth="1"/>
    <col min="3" max="3" width="18" customWidth="1"/>
    <col min="4" max="4" width="4" customWidth="1"/>
    <col min="5" max="7" width="20" customWidth="1"/>
    <col min="8" max="8" width="4" customWidth="1"/>
    <col min="9" max="11" width="3" customWidth="1"/>
  </cols>
  <sheetData>
    <row r="1" spans="1:11">
      <c r="A1" s="1"/>
      <c r="B1" s="1"/>
      <c r="C1" s="1"/>
      <c r="D1" s="1"/>
      <c r="E1" s="1"/>
      <c r="F1" s="1"/>
      <c r="G1" s="1"/>
      <c r="H1" s="1"/>
      <c r="I1" s="1"/>
      <c r="J1" s="1"/>
      <c r="K1" s="1"/>
    </row>
    <row r="2" spans="1:11" ht="45.2" customHeight="1">
      <c r="A2" s="1"/>
      <c r="B2" s="21" t="s">
        <v>47</v>
      </c>
      <c r="C2" s="21"/>
      <c r="D2" s="21"/>
      <c r="E2" s="21"/>
      <c r="F2" s="21"/>
      <c r="G2" s="21"/>
      <c r="H2" s="1"/>
      <c r="I2" s="1"/>
      <c r="J2" s="1"/>
      <c r="K2" s="1"/>
    </row>
    <row r="3" spans="1:11" ht="30.75" customHeight="1">
      <c r="A3" s="1"/>
      <c r="B3" s="22" t="s">
        <v>48</v>
      </c>
      <c r="C3" s="22"/>
      <c r="D3" s="22"/>
      <c r="E3" s="22"/>
      <c r="F3" s="22"/>
      <c r="G3" s="22"/>
      <c r="H3" s="1"/>
      <c r="I3" s="1"/>
      <c r="J3" s="1"/>
      <c r="K3" s="1"/>
    </row>
    <row r="4" spans="1:11" ht="6.75" customHeight="1">
      <c r="A4" s="1"/>
      <c r="B4" s="23"/>
      <c r="C4" s="23"/>
      <c r="D4" s="23"/>
      <c r="E4" s="23"/>
      <c r="F4" s="23"/>
      <c r="G4" s="23"/>
      <c r="H4" s="1"/>
      <c r="I4" s="1"/>
      <c r="J4" s="1"/>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8" t="s">
        <v>49</v>
      </c>
      <c r="C7" s="18"/>
      <c r="D7" s="1"/>
      <c r="E7" s="1"/>
      <c r="F7" s="1"/>
      <c r="G7" s="1"/>
      <c r="H7" s="1"/>
      <c r="I7" s="1"/>
      <c r="J7" s="1"/>
      <c r="K7" s="1"/>
    </row>
    <row r="8" spans="1:11" ht="37.35" customHeight="1">
      <c r="A8" s="1"/>
      <c r="B8" s="4" t="s">
        <v>50</v>
      </c>
      <c r="C8" s="4" t="s">
        <v>51</v>
      </c>
      <c r="D8" s="1"/>
      <c r="E8" s="1"/>
      <c r="F8" s="1"/>
      <c r="G8" s="1"/>
      <c r="H8" s="1"/>
      <c r="I8" s="1"/>
      <c r="J8" s="1"/>
      <c r="K8" s="1"/>
    </row>
    <row r="9" spans="1:11">
      <c r="A9" s="1"/>
      <c r="B9" s="5" t="s">
        <v>52</v>
      </c>
      <c r="C9" s="9">
        <v>5100</v>
      </c>
      <c r="D9" s="1"/>
      <c r="E9" s="1"/>
      <c r="F9" s="1"/>
      <c r="G9" s="1"/>
      <c r="H9" s="1"/>
      <c r="I9" s="1"/>
      <c r="J9" s="1"/>
      <c r="K9" s="1"/>
    </row>
    <row r="10" spans="1:11">
      <c r="A10" s="1"/>
      <c r="B10" s="5" t="s">
        <v>53</v>
      </c>
      <c r="C10" s="9">
        <v>1150</v>
      </c>
      <c r="D10" s="1"/>
      <c r="E10" s="1"/>
      <c r="F10" s="1"/>
      <c r="G10" s="1"/>
      <c r="H10" s="1"/>
      <c r="I10" s="1"/>
      <c r="J10" s="1"/>
      <c r="K10" s="1"/>
    </row>
    <row r="11" spans="1:11">
      <c r="A11" s="1"/>
      <c r="B11" s="5" t="s">
        <v>54</v>
      </c>
      <c r="C11" s="9">
        <v>1700</v>
      </c>
      <c r="D11" s="1"/>
      <c r="E11" s="1"/>
      <c r="F11" s="1"/>
      <c r="G11" s="1"/>
      <c r="H11" s="1"/>
      <c r="I11" s="1"/>
      <c r="J11" s="1"/>
      <c r="K11" s="1"/>
    </row>
    <row r="12" spans="1:11">
      <c r="A12" s="1"/>
      <c r="B12" s="5" t="s">
        <v>55</v>
      </c>
      <c r="C12" s="9">
        <v>-120</v>
      </c>
      <c r="D12" s="1"/>
      <c r="E12" s="1"/>
      <c r="F12" s="1"/>
      <c r="G12" s="1"/>
      <c r="H12" s="1"/>
      <c r="I12" s="1"/>
      <c r="J12" s="1"/>
      <c r="K12" s="1"/>
    </row>
    <row r="13" spans="1:11">
      <c r="A13" s="1"/>
      <c r="B13" s="5" t="s">
        <v>56</v>
      </c>
      <c r="C13" s="9">
        <v>1250</v>
      </c>
      <c r="D13" s="1"/>
      <c r="E13" s="1"/>
      <c r="F13" s="1"/>
      <c r="G13" s="1"/>
      <c r="H13" s="1"/>
      <c r="I13" s="1"/>
      <c r="J13" s="1"/>
      <c r="K13" s="1"/>
    </row>
    <row r="14" spans="1:11">
      <c r="A14" s="1"/>
      <c r="B14" s="5" t="s">
        <v>57</v>
      </c>
      <c r="C14" s="9">
        <v>1640</v>
      </c>
      <c r="D14" s="1"/>
      <c r="E14" s="1"/>
      <c r="F14" s="1"/>
      <c r="G14" s="1"/>
      <c r="H14" s="1"/>
      <c r="I14" s="1"/>
      <c r="J14" s="1"/>
      <c r="K14" s="1"/>
    </row>
    <row r="15" spans="1:11">
      <c r="A15" s="1"/>
      <c r="B15" s="1"/>
      <c r="C15" s="1"/>
      <c r="D15" s="1"/>
      <c r="E15" s="1"/>
      <c r="F15" s="1"/>
      <c r="G15" s="1"/>
      <c r="H15" s="1"/>
      <c r="I15" s="1"/>
      <c r="J15" s="1"/>
      <c r="K15" s="1"/>
    </row>
    <row r="16" spans="1:11">
      <c r="A16" s="1"/>
      <c r="B16" s="1"/>
      <c r="C16" s="1"/>
      <c r="D16" s="1"/>
      <c r="E16" s="1"/>
      <c r="F16" s="1"/>
      <c r="G16" s="1"/>
      <c r="H16" s="1"/>
      <c r="I16" s="1"/>
      <c r="J16" s="1"/>
      <c r="K16" s="1"/>
    </row>
    <row r="17" spans="1:11" ht="30.75" customHeight="1">
      <c r="A17" s="1"/>
      <c r="B17" s="18" t="s">
        <v>58</v>
      </c>
      <c r="C17" s="18"/>
      <c r="D17" s="18"/>
      <c r="E17" s="18"/>
      <c r="F17" s="18"/>
      <c r="G17" s="18"/>
      <c r="H17" s="1"/>
      <c r="I17" s="1"/>
      <c r="J17" s="1"/>
      <c r="K17" s="1"/>
    </row>
    <row r="18" spans="1:11" ht="33.200000000000003" customHeight="1">
      <c r="A18" s="1"/>
      <c r="B18" s="20" t="s">
        <v>59</v>
      </c>
      <c r="C18" s="20"/>
      <c r="D18" s="20"/>
      <c r="E18" s="41">
        <f>C11+C12</f>
        <v>1580</v>
      </c>
      <c r="F18" s="16"/>
      <c r="G18" s="16"/>
      <c r="H18" s="1"/>
      <c r="I18" s="1"/>
      <c r="J18" s="1"/>
      <c r="K18" s="1"/>
    </row>
    <row r="19" spans="1:11">
      <c r="A19" s="1"/>
      <c r="B19" s="1"/>
      <c r="C19" s="1"/>
      <c r="D19" s="1"/>
      <c r="E19" s="1"/>
      <c r="F19" s="1"/>
      <c r="G19" s="1"/>
      <c r="H19" s="1"/>
      <c r="I19" s="1"/>
      <c r="J19" s="1"/>
      <c r="K19" s="1"/>
    </row>
    <row r="20" spans="1:11" ht="33.200000000000003" customHeight="1">
      <c r="A20" s="1"/>
      <c r="B20" s="20" t="s">
        <v>60</v>
      </c>
      <c r="C20" s="20"/>
      <c r="D20" s="20"/>
      <c r="E20" s="41">
        <f>C13-C14</f>
        <v>-390</v>
      </c>
      <c r="F20" s="16"/>
      <c r="G20" s="16"/>
      <c r="H20" s="1"/>
      <c r="I20" s="1"/>
      <c r="J20" s="1"/>
      <c r="K20" s="1"/>
    </row>
    <row r="21" spans="1:11">
      <c r="A21" s="1"/>
      <c r="B21" s="1"/>
      <c r="C21" s="1"/>
      <c r="D21" s="1"/>
      <c r="E21" s="1"/>
      <c r="F21" s="1"/>
      <c r="G21" s="1"/>
      <c r="H21" s="1"/>
      <c r="I21" s="1"/>
      <c r="J21" s="1"/>
      <c r="K21" s="1"/>
    </row>
    <row r="22" spans="1:11" ht="33.200000000000003" customHeight="1">
      <c r="A22" s="1"/>
      <c r="B22" s="20" t="s">
        <v>61</v>
      </c>
      <c r="C22" s="20"/>
      <c r="D22" s="20"/>
      <c r="E22" s="41">
        <f>C9+E18+C10+(E20)</f>
        <v>7440</v>
      </c>
      <c r="F22" s="16"/>
      <c r="G22" s="16"/>
      <c r="H22" s="1"/>
      <c r="I22" s="1"/>
      <c r="J22" s="1"/>
      <c r="K22" s="1"/>
    </row>
    <row r="23" spans="1:11">
      <c r="A23" s="1"/>
      <c r="B23" s="1"/>
      <c r="C23" s="1"/>
      <c r="D23" s="1"/>
      <c r="E23" s="1"/>
      <c r="F23" s="1"/>
      <c r="G23" s="1"/>
      <c r="H23" s="1"/>
      <c r="I23" s="1"/>
      <c r="J23" s="1"/>
      <c r="K23" s="1"/>
    </row>
    <row r="24" spans="1:11" ht="33.200000000000003" customHeight="1">
      <c r="A24" s="1"/>
      <c r="B24" s="20" t="s">
        <v>62</v>
      </c>
      <c r="C24" s="20"/>
      <c r="D24" s="20"/>
      <c r="E24" s="41">
        <f>E22+250</f>
        <v>7690</v>
      </c>
      <c r="F24" s="16"/>
      <c r="G24" s="16"/>
      <c r="H24" s="1"/>
      <c r="I24" s="1"/>
      <c r="J24" s="1"/>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ht="30.75" customHeight="1">
      <c r="A27" s="1"/>
      <c r="B27" s="18" t="s">
        <v>42</v>
      </c>
      <c r="C27" s="18"/>
      <c r="D27" s="18"/>
      <c r="E27" s="18"/>
      <c r="F27" s="18"/>
      <c r="G27" s="18"/>
      <c r="H27" s="1"/>
      <c r="I27" s="1"/>
      <c r="J27" s="1"/>
      <c r="K27" s="1"/>
    </row>
    <row r="28" spans="1:11">
      <c r="A28" s="1"/>
      <c r="B28" s="19" t="s">
        <v>131</v>
      </c>
      <c r="C28" s="19"/>
      <c r="D28" s="19"/>
      <c r="E28" s="19"/>
      <c r="F28" s="19"/>
      <c r="G28" s="19"/>
      <c r="H28" s="1"/>
      <c r="I28" s="1"/>
      <c r="J28" s="1"/>
      <c r="K28" s="1"/>
    </row>
    <row r="29" spans="1:11">
      <c r="A29" s="1"/>
      <c r="B29" s="19"/>
      <c r="C29" s="19"/>
      <c r="D29" s="19"/>
      <c r="E29" s="19"/>
      <c r="F29" s="19"/>
      <c r="G29" s="19"/>
      <c r="H29" s="1"/>
      <c r="I29" s="1"/>
      <c r="J29" s="1"/>
      <c r="K29" s="1"/>
    </row>
    <row r="30" spans="1:11">
      <c r="A30" s="1"/>
      <c r="B30" s="19"/>
      <c r="C30" s="19"/>
      <c r="D30" s="19"/>
      <c r="E30" s="19"/>
      <c r="F30" s="19"/>
      <c r="G30" s="19"/>
      <c r="H30" s="1"/>
      <c r="I30" s="1"/>
      <c r="J30" s="1"/>
      <c r="K30" s="1"/>
    </row>
    <row r="31" spans="1:11">
      <c r="A31" s="1"/>
      <c r="B31" s="19"/>
      <c r="C31" s="19"/>
      <c r="D31" s="19"/>
      <c r="E31" s="19"/>
      <c r="F31" s="19"/>
      <c r="G31" s="19"/>
      <c r="H31" s="1"/>
      <c r="I31" s="1"/>
      <c r="J31" s="1"/>
      <c r="K31" s="1"/>
    </row>
    <row r="32" spans="1:11">
      <c r="A32" s="1"/>
      <c r="B32" s="19"/>
      <c r="C32" s="19"/>
      <c r="D32" s="19"/>
      <c r="E32" s="19"/>
      <c r="F32" s="19"/>
      <c r="G32" s="19"/>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ht="30.75" customHeight="1">
      <c r="A35" s="1"/>
      <c r="B35" s="13" t="s">
        <v>63</v>
      </c>
      <c r="C35" s="13"/>
      <c r="D35" s="13"/>
      <c r="E35" s="13"/>
      <c r="F35" s="13"/>
      <c r="G35" s="13"/>
      <c r="H35" s="1"/>
      <c r="I35" s="1"/>
      <c r="J35" s="1"/>
      <c r="K35" s="1"/>
    </row>
    <row r="36" spans="1:11">
      <c r="A36" s="1"/>
      <c r="B36" s="14" t="s">
        <v>64</v>
      </c>
      <c r="C36" s="14"/>
      <c r="D36" s="14"/>
      <c r="E36" s="14"/>
      <c r="F36" s="14"/>
      <c r="G36" s="14"/>
      <c r="H36" s="1"/>
      <c r="I36" s="1"/>
      <c r="J36" s="1"/>
      <c r="K36" s="1"/>
    </row>
    <row r="37" spans="1:11">
      <c r="A37" s="1"/>
      <c r="B37" s="14"/>
      <c r="C37" s="14"/>
      <c r="D37" s="14"/>
      <c r="E37" s="14"/>
      <c r="F37" s="14"/>
      <c r="G37" s="14"/>
      <c r="H37" s="1"/>
      <c r="I37" s="1"/>
      <c r="J37" s="1"/>
      <c r="K37" s="1"/>
    </row>
    <row r="38" spans="1:11">
      <c r="A38" s="1"/>
      <c r="B38" s="14"/>
      <c r="C38" s="14"/>
      <c r="D38" s="14"/>
      <c r="E38" s="14"/>
      <c r="F38" s="14"/>
      <c r="G38" s="14"/>
      <c r="H38" s="1"/>
      <c r="I38" s="1"/>
      <c r="J38" s="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ht="41.25" customHeight="1">
      <c r="A41" s="1"/>
      <c r="B41" s="15" t="s">
        <v>65</v>
      </c>
      <c r="C41" s="15"/>
      <c r="D41" s="15"/>
      <c r="E41" s="15"/>
      <c r="F41" s="15"/>
      <c r="G41" s="15"/>
      <c r="H41" s="1"/>
      <c r="I41" s="1"/>
      <c r="J41" s="1"/>
      <c r="K41" s="1"/>
    </row>
    <row r="42" spans="1:11" ht="32.1" customHeight="1">
      <c r="A42" s="1"/>
      <c r="B42" s="12" t="s">
        <v>132</v>
      </c>
      <c r="C42" s="12"/>
      <c r="D42" s="12"/>
      <c r="E42" s="12"/>
      <c r="F42" s="12"/>
      <c r="G42" s="12"/>
      <c r="H42" s="1"/>
      <c r="I42" s="1"/>
      <c r="J42" s="1"/>
      <c r="K42" s="1"/>
    </row>
    <row r="43" spans="1:11" ht="32.1" customHeight="1">
      <c r="A43" s="1"/>
      <c r="B43" s="12"/>
      <c r="C43" s="12"/>
      <c r="D43" s="12"/>
      <c r="E43" s="12"/>
      <c r="F43" s="12"/>
      <c r="G43" s="12"/>
      <c r="H43" s="1"/>
      <c r="I43" s="1"/>
      <c r="J43" s="1"/>
      <c r="K43" s="1"/>
    </row>
    <row r="44" spans="1:11" ht="32.1" customHeight="1">
      <c r="A44" s="1"/>
      <c r="B44" s="12"/>
      <c r="C44" s="12"/>
      <c r="D44" s="12"/>
      <c r="E44" s="12"/>
      <c r="F44" s="12"/>
      <c r="G44" s="12"/>
      <c r="H44" s="1"/>
      <c r="I44" s="1"/>
      <c r="J44" s="1"/>
      <c r="K44" s="1"/>
    </row>
    <row r="45" spans="1:11" ht="32.1" customHeight="1">
      <c r="A45" s="1"/>
      <c r="B45" s="12"/>
      <c r="C45" s="12"/>
      <c r="D45" s="12"/>
      <c r="E45" s="12"/>
      <c r="F45" s="12"/>
      <c r="G45" s="12"/>
      <c r="H45" s="1"/>
      <c r="I45" s="1"/>
      <c r="J45" s="1"/>
      <c r="K45" s="1"/>
    </row>
    <row r="46" spans="1:11" ht="32.1" customHeight="1">
      <c r="A46" s="1"/>
      <c r="B46" s="12"/>
      <c r="C46" s="12"/>
      <c r="D46" s="12"/>
      <c r="E46" s="12"/>
      <c r="F46" s="12"/>
      <c r="G46" s="12"/>
      <c r="H46" s="1"/>
      <c r="I46" s="1"/>
      <c r="J46" s="1"/>
      <c r="K46" s="1"/>
    </row>
    <row r="47" spans="1:11" ht="32.1" customHeight="1">
      <c r="A47" s="1"/>
      <c r="B47" s="12"/>
      <c r="C47" s="12"/>
      <c r="D47" s="12"/>
      <c r="E47" s="12"/>
      <c r="F47" s="12"/>
      <c r="G47" s="12"/>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sheetData>
  <mergeCells count="19">
    <mergeCell ref="B2:G2"/>
    <mergeCell ref="B3:G3"/>
    <mergeCell ref="B4:G4"/>
    <mergeCell ref="B7:C7"/>
    <mergeCell ref="B17:G17"/>
    <mergeCell ref="B18:D18"/>
    <mergeCell ref="E18:G18"/>
    <mergeCell ref="B20:D20"/>
    <mergeCell ref="E20:G20"/>
    <mergeCell ref="B22:D22"/>
    <mergeCell ref="E22:G22"/>
    <mergeCell ref="B36:G38"/>
    <mergeCell ref="B41:G41"/>
    <mergeCell ref="B42:G47"/>
    <mergeCell ref="B24:D24"/>
    <mergeCell ref="E24:G24"/>
    <mergeCell ref="B27:G27"/>
    <mergeCell ref="B28:G32"/>
    <mergeCell ref="B35:G3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2"/>
  <sheetViews>
    <sheetView showGridLines="0" workbookViewId="0">
      <selection activeCell="E19" sqref="E19:G19"/>
    </sheetView>
  </sheetViews>
  <sheetFormatPr baseColWidth="10" defaultColWidth="8.875" defaultRowHeight="14.25"/>
  <cols>
    <col min="1" max="1" width="3" customWidth="1"/>
    <col min="2" max="2" width="39" customWidth="1"/>
    <col min="3" max="3" width="18" customWidth="1"/>
    <col min="4" max="4" width="20" customWidth="1"/>
    <col min="5" max="5" width="4" customWidth="1"/>
    <col min="6" max="9" width="22" customWidth="1"/>
    <col min="10" max="11" width="3" customWidth="1"/>
  </cols>
  <sheetData>
    <row r="1" spans="1:11">
      <c r="A1" s="1"/>
      <c r="B1" s="1"/>
      <c r="C1" s="1"/>
      <c r="D1" s="1"/>
      <c r="E1" s="1"/>
      <c r="F1" s="1"/>
      <c r="G1" s="1"/>
      <c r="H1" s="1"/>
      <c r="I1" s="1"/>
      <c r="J1" s="1"/>
      <c r="K1" s="1"/>
    </row>
    <row r="2" spans="1:11" ht="45.2" customHeight="1">
      <c r="A2" s="1"/>
      <c r="B2" s="21" t="s">
        <v>66</v>
      </c>
      <c r="C2" s="21"/>
      <c r="D2" s="21"/>
      <c r="E2" s="21"/>
      <c r="F2" s="21"/>
      <c r="G2" s="21"/>
      <c r="H2" s="21"/>
      <c r="I2" s="21"/>
      <c r="J2" s="1"/>
      <c r="K2" s="1"/>
    </row>
    <row r="3" spans="1:11" ht="30.75" customHeight="1">
      <c r="A3" s="1"/>
      <c r="B3" s="22" t="s">
        <v>67</v>
      </c>
      <c r="C3" s="22"/>
      <c r="D3" s="22"/>
      <c r="E3" s="22"/>
      <c r="F3" s="22"/>
      <c r="G3" s="22"/>
      <c r="H3" s="22"/>
      <c r="I3" s="22"/>
      <c r="J3" s="1"/>
      <c r="K3" s="1"/>
    </row>
    <row r="4" spans="1:11" ht="6.75" customHeight="1">
      <c r="A4" s="1"/>
      <c r="B4" s="23"/>
      <c r="C4" s="23"/>
      <c r="D4" s="23"/>
      <c r="E4" s="23"/>
      <c r="F4" s="23"/>
      <c r="G4" s="23"/>
      <c r="H4" s="23"/>
      <c r="I4" s="23"/>
      <c r="J4" s="1"/>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8" t="s">
        <v>68</v>
      </c>
      <c r="C7" s="18"/>
      <c r="D7" s="18"/>
      <c r="E7" s="1"/>
      <c r="F7" s="1"/>
      <c r="G7" s="1"/>
      <c r="H7" s="1"/>
      <c r="I7" s="1"/>
      <c r="J7" s="1"/>
      <c r="K7" s="1"/>
    </row>
    <row r="8" spans="1:11" ht="37.35" customHeight="1">
      <c r="A8" s="1"/>
      <c r="B8" s="4" t="s">
        <v>69</v>
      </c>
      <c r="C8" s="4" t="s">
        <v>51</v>
      </c>
      <c r="D8" s="4" t="s">
        <v>70</v>
      </c>
      <c r="E8" s="1"/>
      <c r="F8" s="1"/>
      <c r="G8" s="1"/>
      <c r="H8" s="1"/>
      <c r="I8" s="1"/>
      <c r="J8" s="1"/>
      <c r="K8" s="1"/>
    </row>
    <row r="9" spans="1:11">
      <c r="A9" s="1"/>
      <c r="B9" s="5" t="s">
        <v>71</v>
      </c>
      <c r="C9" s="6">
        <v>4250</v>
      </c>
      <c r="D9" s="8">
        <f>C9/$E$19</f>
        <v>0.54347826086956519</v>
      </c>
      <c r="E9" s="1"/>
      <c r="F9" s="1"/>
      <c r="G9" s="1"/>
      <c r="H9" s="1"/>
      <c r="I9" s="1"/>
      <c r="J9" s="1"/>
      <c r="K9" s="1"/>
    </row>
    <row r="10" spans="1:11">
      <c r="A10" s="1"/>
      <c r="B10" s="5" t="s">
        <v>72</v>
      </c>
      <c r="C10" s="6">
        <v>2100</v>
      </c>
      <c r="D10" s="8">
        <f t="shared" ref="D10:D13" si="0">C10/$E$19</f>
        <v>0.26854219948849106</v>
      </c>
      <c r="E10" s="1"/>
      <c r="F10" s="1"/>
      <c r="G10" s="1"/>
      <c r="H10" s="1"/>
      <c r="I10" s="1"/>
      <c r="J10" s="1"/>
      <c r="K10" s="1"/>
    </row>
    <row r="11" spans="1:11">
      <c r="A11" s="1"/>
      <c r="B11" s="5" t="s">
        <v>73</v>
      </c>
      <c r="C11" s="6">
        <v>960</v>
      </c>
      <c r="D11" s="8">
        <f t="shared" si="0"/>
        <v>0.12276214833759591</v>
      </c>
      <c r="E11" s="1"/>
      <c r="F11" s="1"/>
      <c r="G11" s="1"/>
      <c r="H11" s="1"/>
      <c r="I11" s="1"/>
      <c r="J11" s="1"/>
      <c r="K11" s="1"/>
    </row>
    <row r="12" spans="1:11">
      <c r="A12" s="1"/>
      <c r="B12" s="5" t="s">
        <v>74</v>
      </c>
      <c r="C12" s="6">
        <v>620</v>
      </c>
      <c r="D12" s="8">
        <f t="shared" si="0"/>
        <v>7.9283887468030695E-2</v>
      </c>
      <c r="E12" s="1"/>
      <c r="F12" s="1"/>
      <c r="G12" s="1"/>
      <c r="H12" s="1"/>
      <c r="I12" s="1"/>
      <c r="J12" s="1"/>
      <c r="K12" s="1"/>
    </row>
    <row r="13" spans="1:11">
      <c r="A13" s="1"/>
      <c r="B13" s="5" t="s">
        <v>75</v>
      </c>
      <c r="C13" s="6">
        <v>110</v>
      </c>
      <c r="D13" s="8">
        <f t="shared" si="0"/>
        <v>1.4066496163682864E-2</v>
      </c>
      <c r="E13" s="1"/>
      <c r="F13" s="1"/>
      <c r="G13" s="1"/>
      <c r="H13" s="1"/>
      <c r="I13" s="1"/>
      <c r="J13" s="1"/>
      <c r="K13" s="1"/>
    </row>
    <row r="14" spans="1:11">
      <c r="A14" s="1"/>
      <c r="B14" s="1"/>
      <c r="C14" s="1"/>
      <c r="D14" s="1"/>
      <c r="E14" s="1"/>
      <c r="F14" s="1"/>
      <c r="G14" s="1"/>
      <c r="H14" s="1"/>
      <c r="I14" s="1"/>
      <c r="J14" s="1"/>
      <c r="K14" s="1"/>
    </row>
    <row r="15" spans="1:11">
      <c r="A15" s="1"/>
      <c r="B15" s="1"/>
      <c r="C15" s="1"/>
      <c r="D15" s="1"/>
      <c r="E15" s="1"/>
      <c r="F15" s="1"/>
      <c r="G15" s="1"/>
      <c r="H15" s="1"/>
      <c r="I15" s="1"/>
      <c r="J15" s="1"/>
      <c r="K15" s="1"/>
    </row>
    <row r="16" spans="1:11" ht="30.75" customHeight="1">
      <c r="A16" s="1"/>
      <c r="B16" s="18" t="s">
        <v>58</v>
      </c>
      <c r="C16" s="18"/>
      <c r="D16" s="18"/>
      <c r="E16" s="18"/>
      <c r="F16" s="18"/>
      <c r="G16" s="18"/>
      <c r="H16" s="1"/>
      <c r="I16" s="1"/>
      <c r="J16" s="1"/>
      <c r="K16" s="1"/>
    </row>
    <row r="17" spans="1:11" ht="33.200000000000003" customHeight="1">
      <c r="A17" s="1"/>
      <c r="B17" s="20" t="s">
        <v>76</v>
      </c>
      <c r="C17" s="20"/>
      <c r="D17" s="20"/>
      <c r="E17" s="39">
        <f>C12-C13</f>
        <v>510</v>
      </c>
      <c r="F17" s="16"/>
      <c r="G17" s="16"/>
      <c r="H17" s="1"/>
      <c r="I17" s="1"/>
      <c r="J17" s="1"/>
      <c r="K17" s="1"/>
    </row>
    <row r="18" spans="1:11">
      <c r="A18" s="1"/>
      <c r="B18" s="1"/>
      <c r="C18" s="1"/>
      <c r="D18" s="1"/>
      <c r="E18" s="1"/>
      <c r="F18" s="1"/>
      <c r="G18" s="1"/>
      <c r="H18" s="1"/>
      <c r="I18" s="1"/>
      <c r="J18" s="1"/>
      <c r="K18" s="1"/>
    </row>
    <row r="19" spans="1:11" ht="33.200000000000003" customHeight="1">
      <c r="A19" s="1"/>
      <c r="B19" s="20" t="s">
        <v>77</v>
      </c>
      <c r="C19" s="20"/>
      <c r="D19" s="20"/>
      <c r="E19" s="39">
        <f xml:space="preserve"> C9+C10+C11+E17</f>
        <v>7820</v>
      </c>
      <c r="F19" s="16"/>
      <c r="G19" s="16"/>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ht="30.75" customHeight="1">
      <c r="A22" s="1"/>
      <c r="B22" s="18" t="s">
        <v>42</v>
      </c>
      <c r="C22" s="18"/>
      <c r="D22" s="18"/>
      <c r="E22" s="18"/>
      <c r="F22" s="18"/>
      <c r="G22" s="18"/>
      <c r="H22" s="1"/>
      <c r="I22" s="1"/>
      <c r="J22" s="1"/>
      <c r="K22" s="1"/>
    </row>
    <row r="23" spans="1:11">
      <c r="A23" s="1"/>
      <c r="B23" s="19" t="s">
        <v>133</v>
      </c>
      <c r="C23" s="19"/>
      <c r="D23" s="19"/>
      <c r="E23" s="19"/>
      <c r="F23" s="19"/>
      <c r="G23" s="19"/>
      <c r="H23" s="1"/>
      <c r="I23" s="1"/>
      <c r="J23" s="1"/>
      <c r="K23" s="1"/>
    </row>
    <row r="24" spans="1:11">
      <c r="A24" s="1"/>
      <c r="B24" s="19"/>
      <c r="C24" s="19"/>
      <c r="D24" s="19"/>
      <c r="E24" s="19"/>
      <c r="F24" s="19"/>
      <c r="G24" s="19"/>
      <c r="H24" s="1"/>
      <c r="I24" s="1"/>
      <c r="J24" s="1"/>
      <c r="K24" s="1"/>
    </row>
    <row r="25" spans="1:11">
      <c r="A25" s="1"/>
      <c r="B25" s="19"/>
      <c r="C25" s="19"/>
      <c r="D25" s="19"/>
      <c r="E25" s="19"/>
      <c r="F25" s="19"/>
      <c r="G25" s="19"/>
      <c r="H25" s="1"/>
      <c r="I25" s="1"/>
      <c r="J25" s="1"/>
      <c r="K25" s="1"/>
    </row>
    <row r="26" spans="1:11">
      <c r="A26" s="1"/>
      <c r="B26" s="19"/>
      <c r="C26" s="19"/>
      <c r="D26" s="19"/>
      <c r="E26" s="19"/>
      <c r="F26" s="19"/>
      <c r="G26" s="19"/>
      <c r="H26" s="1"/>
      <c r="I26" s="1"/>
      <c r="J26" s="1"/>
      <c r="K26" s="1"/>
    </row>
    <row r="27" spans="1:11">
      <c r="A27" s="1"/>
      <c r="B27" s="19"/>
      <c r="C27" s="19"/>
      <c r="D27" s="19"/>
      <c r="E27" s="19"/>
      <c r="F27" s="19"/>
      <c r="G27" s="19"/>
      <c r="H27" s="1"/>
      <c r="I27" s="1"/>
      <c r="J27" s="1"/>
      <c r="K27" s="1"/>
    </row>
    <row r="28" spans="1:11">
      <c r="A28" s="1"/>
      <c r="B28" s="1"/>
      <c r="C28" s="1"/>
      <c r="D28" s="1"/>
      <c r="E28" s="1"/>
      <c r="F28" s="1"/>
      <c r="G28" s="1"/>
      <c r="H28" s="1"/>
      <c r="I28" s="1"/>
      <c r="J28" s="1"/>
      <c r="K28" s="1"/>
    </row>
    <row r="29" spans="1:11">
      <c r="A29" s="1"/>
      <c r="B29" s="1"/>
      <c r="C29" s="1"/>
      <c r="D29" s="1"/>
      <c r="E29" s="1"/>
      <c r="F29" s="1"/>
      <c r="G29" s="1"/>
      <c r="H29" s="1"/>
      <c r="I29" s="1"/>
      <c r="J29" s="1"/>
      <c r="K29" s="1"/>
    </row>
    <row r="30" spans="1:11" ht="30.75" customHeight="1">
      <c r="A30" s="1"/>
      <c r="B30" s="13" t="s">
        <v>63</v>
      </c>
      <c r="C30" s="13"/>
      <c r="D30" s="13"/>
      <c r="E30" s="13"/>
      <c r="F30" s="13"/>
      <c r="G30" s="13"/>
      <c r="H30" s="13"/>
      <c r="I30" s="13"/>
      <c r="J30" s="1"/>
      <c r="K30" s="1"/>
    </row>
    <row r="31" spans="1:11">
      <c r="A31" s="1"/>
      <c r="B31" s="14" t="s">
        <v>78</v>
      </c>
      <c r="C31" s="14"/>
      <c r="D31" s="14"/>
      <c r="E31" s="14"/>
      <c r="F31" s="14"/>
      <c r="G31" s="14"/>
      <c r="H31" s="14"/>
      <c r="I31" s="14"/>
      <c r="J31" s="1"/>
      <c r="K31" s="1"/>
    </row>
    <row r="32" spans="1:11">
      <c r="A32" s="1"/>
      <c r="B32" s="14"/>
      <c r="C32" s="14"/>
      <c r="D32" s="14"/>
      <c r="E32" s="14"/>
      <c r="F32" s="14"/>
      <c r="G32" s="14"/>
      <c r="H32" s="14"/>
      <c r="I32" s="14"/>
      <c r="J32" s="1"/>
      <c r="K32" s="1"/>
    </row>
    <row r="33" spans="1:11">
      <c r="A33" s="1"/>
      <c r="B33" s="14"/>
      <c r="C33" s="14"/>
      <c r="D33" s="14"/>
      <c r="E33" s="14"/>
      <c r="F33" s="14"/>
      <c r="G33" s="14"/>
      <c r="H33" s="14"/>
      <c r="I33" s="14"/>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ht="41.25" customHeight="1">
      <c r="A36" s="1"/>
      <c r="B36" s="15" t="s">
        <v>79</v>
      </c>
      <c r="C36" s="15"/>
      <c r="D36" s="15"/>
      <c r="E36" s="15"/>
      <c r="F36" s="15"/>
      <c r="G36" s="15"/>
      <c r="H36" s="15"/>
      <c r="I36" s="15"/>
      <c r="J36" s="1"/>
      <c r="K36" s="1"/>
    </row>
    <row r="37" spans="1:11" ht="32.1" customHeight="1">
      <c r="A37" s="1"/>
      <c r="B37" s="12" t="s">
        <v>134</v>
      </c>
      <c r="C37" s="12"/>
      <c r="D37" s="12"/>
      <c r="E37" s="12"/>
      <c r="F37" s="12"/>
      <c r="G37" s="12"/>
      <c r="H37" s="12"/>
      <c r="I37" s="12"/>
      <c r="J37" s="1"/>
      <c r="K37" s="1"/>
    </row>
    <row r="38" spans="1:11" ht="32.1" customHeight="1">
      <c r="A38" s="1"/>
      <c r="B38" s="12"/>
      <c r="C38" s="12"/>
      <c r="D38" s="12"/>
      <c r="E38" s="12"/>
      <c r="F38" s="12"/>
      <c r="G38" s="12"/>
      <c r="H38" s="12"/>
      <c r="I38" s="12"/>
      <c r="J38" s="1"/>
      <c r="K38" s="1"/>
    </row>
    <row r="39" spans="1:11" ht="32.1" customHeight="1">
      <c r="A39" s="1"/>
      <c r="B39" s="12"/>
      <c r="C39" s="12"/>
      <c r="D39" s="12"/>
      <c r="E39" s="12"/>
      <c r="F39" s="12"/>
      <c r="G39" s="12"/>
      <c r="H39" s="12"/>
      <c r="I39" s="12"/>
      <c r="J39" s="1"/>
      <c r="K39" s="1"/>
    </row>
    <row r="40" spans="1:11" ht="32.1" customHeight="1">
      <c r="A40" s="1"/>
      <c r="B40" s="12"/>
      <c r="C40" s="12"/>
      <c r="D40" s="12"/>
      <c r="E40" s="12"/>
      <c r="F40" s="12"/>
      <c r="G40" s="12"/>
      <c r="H40" s="12"/>
      <c r="I40" s="12"/>
      <c r="J40" s="1"/>
      <c r="K40" s="1"/>
    </row>
    <row r="41" spans="1:11" ht="32.1" customHeight="1">
      <c r="A41" s="1"/>
      <c r="B41" s="12"/>
      <c r="C41" s="12"/>
      <c r="D41" s="12"/>
      <c r="E41" s="12"/>
      <c r="F41" s="12"/>
      <c r="G41" s="12"/>
      <c r="H41" s="12"/>
      <c r="I41" s="12"/>
      <c r="J41" s="1"/>
      <c r="K41" s="1"/>
    </row>
    <row r="42" spans="1:11" ht="32.1" customHeight="1">
      <c r="A42" s="1"/>
      <c r="B42" s="12"/>
      <c r="C42" s="12"/>
      <c r="D42" s="12"/>
      <c r="E42" s="12"/>
      <c r="F42" s="12"/>
      <c r="G42" s="12"/>
      <c r="H42" s="12"/>
      <c r="I42" s="12"/>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sheetData>
  <mergeCells count="15">
    <mergeCell ref="B2:I2"/>
    <mergeCell ref="B3:I3"/>
    <mergeCell ref="B4:I4"/>
    <mergeCell ref="B7:D7"/>
    <mergeCell ref="B16:G16"/>
    <mergeCell ref="B17:D17"/>
    <mergeCell ref="E17:G17"/>
    <mergeCell ref="B19:D19"/>
    <mergeCell ref="E19:G19"/>
    <mergeCell ref="B22:G22"/>
    <mergeCell ref="B23:G27"/>
    <mergeCell ref="B30:I30"/>
    <mergeCell ref="B31:I33"/>
    <mergeCell ref="B36:I36"/>
    <mergeCell ref="B37:I4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8"/>
  <sheetViews>
    <sheetView showGridLines="0" workbookViewId="0">
      <selection activeCell="B48" sqref="B48"/>
    </sheetView>
  </sheetViews>
  <sheetFormatPr baseColWidth="10" defaultColWidth="8.875" defaultRowHeight="14.25"/>
  <cols>
    <col min="1" max="1" width="3" customWidth="1"/>
    <col min="2" max="2" width="29" customWidth="1"/>
    <col min="3" max="3" width="17" customWidth="1"/>
    <col min="4" max="4" width="4" customWidth="1"/>
    <col min="5" max="5" width="31" customWidth="1"/>
    <col min="6" max="6" width="17" customWidth="1"/>
    <col min="7" max="7" width="4" customWidth="1"/>
    <col min="8" max="10" width="20" customWidth="1"/>
    <col min="11" max="11" width="3" customWidth="1"/>
  </cols>
  <sheetData>
    <row r="1" spans="1:11">
      <c r="A1" s="1"/>
      <c r="B1" s="1"/>
      <c r="C1" s="1"/>
      <c r="D1" s="1"/>
      <c r="E1" s="1"/>
      <c r="F1" s="1"/>
      <c r="G1" s="1"/>
      <c r="H1" s="1"/>
      <c r="I1" s="1"/>
      <c r="J1" s="1"/>
      <c r="K1" s="1"/>
    </row>
    <row r="2" spans="1:11" ht="45.2" customHeight="1">
      <c r="A2" s="1"/>
      <c r="B2" s="21" t="s">
        <v>80</v>
      </c>
      <c r="C2" s="21"/>
      <c r="D2" s="21"/>
      <c r="E2" s="21"/>
      <c r="F2" s="21"/>
      <c r="G2" s="21"/>
      <c r="H2" s="21"/>
      <c r="I2" s="21"/>
      <c r="J2" s="21"/>
      <c r="K2" s="1"/>
    </row>
    <row r="3" spans="1:11" ht="30.75" customHeight="1">
      <c r="A3" s="1"/>
      <c r="B3" s="22" t="s">
        <v>81</v>
      </c>
      <c r="C3" s="22"/>
      <c r="D3" s="22"/>
      <c r="E3" s="22"/>
      <c r="F3" s="22"/>
      <c r="G3" s="22"/>
      <c r="H3" s="22"/>
      <c r="I3" s="22"/>
      <c r="J3" s="22"/>
      <c r="K3" s="1"/>
    </row>
    <row r="4" spans="1:11" ht="6.75" customHeight="1">
      <c r="A4" s="1"/>
      <c r="B4" s="23"/>
      <c r="C4" s="23"/>
      <c r="D4" s="23"/>
      <c r="E4" s="23"/>
      <c r="F4" s="23"/>
      <c r="G4" s="23"/>
      <c r="H4" s="23"/>
      <c r="I4" s="23"/>
      <c r="J4" s="23"/>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8" t="s">
        <v>82</v>
      </c>
      <c r="C7" s="18"/>
      <c r="D7" s="18"/>
      <c r="E7" s="18"/>
      <c r="F7" s="18"/>
      <c r="G7" s="18"/>
      <c r="H7" s="18"/>
      <c r="I7" s="18"/>
      <c r="J7" s="18"/>
      <c r="K7" s="1"/>
    </row>
    <row r="8" spans="1:11">
      <c r="A8" s="1"/>
      <c r="B8" s="24" t="s">
        <v>83</v>
      </c>
      <c r="C8" s="24"/>
      <c r="D8" s="24"/>
      <c r="E8" s="24"/>
      <c r="F8" s="25" t="s">
        <v>84</v>
      </c>
      <c r="G8" s="25"/>
      <c r="H8" s="25"/>
      <c r="I8" s="25"/>
      <c r="J8" s="25"/>
      <c r="K8" s="1"/>
    </row>
    <row r="9" spans="1:11">
      <c r="A9" s="1"/>
      <c r="B9" s="24"/>
      <c r="C9" s="24"/>
      <c r="D9" s="24"/>
      <c r="E9" s="24"/>
      <c r="F9" s="25"/>
      <c r="G9" s="25"/>
      <c r="H9" s="25"/>
      <c r="I9" s="25"/>
      <c r="J9" s="25"/>
      <c r="K9" s="1"/>
    </row>
    <row r="10" spans="1:11">
      <c r="A10" s="1"/>
      <c r="B10" s="24"/>
      <c r="C10" s="24"/>
      <c r="D10" s="24"/>
      <c r="E10" s="24"/>
      <c r="F10" s="25"/>
      <c r="G10" s="25"/>
      <c r="H10" s="25"/>
      <c r="I10" s="25"/>
      <c r="J10" s="25"/>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18" t="s">
        <v>85</v>
      </c>
      <c r="C13" s="18"/>
      <c r="D13" s="1"/>
      <c r="E13" s="18" t="s">
        <v>86</v>
      </c>
      <c r="F13" s="18"/>
      <c r="G13" s="1"/>
      <c r="H13" s="1"/>
      <c r="I13" s="1"/>
      <c r="J13" s="1"/>
      <c r="K13" s="1"/>
    </row>
    <row r="14" spans="1:11" ht="37.35" customHeight="1">
      <c r="A14" s="1"/>
      <c r="B14" s="4" t="s">
        <v>50</v>
      </c>
      <c r="C14" s="4" t="s">
        <v>51</v>
      </c>
      <c r="D14" s="1"/>
      <c r="E14" s="4" t="s">
        <v>50</v>
      </c>
      <c r="F14" s="4" t="s">
        <v>51</v>
      </c>
      <c r="G14" s="1"/>
      <c r="H14" s="1"/>
      <c r="I14" s="1"/>
      <c r="J14" s="1"/>
      <c r="K14" s="1"/>
    </row>
    <row r="15" spans="1:11">
      <c r="A15" s="1"/>
      <c r="B15" s="5" t="s">
        <v>87</v>
      </c>
      <c r="C15" s="6">
        <v>5200</v>
      </c>
      <c r="D15" s="1"/>
      <c r="E15" s="5" t="s">
        <v>71</v>
      </c>
      <c r="F15" s="6">
        <v>4300</v>
      </c>
      <c r="G15" s="1"/>
      <c r="H15" s="1"/>
      <c r="I15" s="1"/>
      <c r="J15" s="1"/>
      <c r="K15" s="1"/>
    </row>
    <row r="16" spans="1:11">
      <c r="A16" s="1"/>
      <c r="B16" s="5" t="s">
        <v>88</v>
      </c>
      <c r="C16" s="6">
        <v>1800</v>
      </c>
      <c r="D16" s="1"/>
      <c r="E16" s="5" t="s">
        <v>72</v>
      </c>
      <c r="F16" s="7">
        <f>9000-(F15+F17+F18)</f>
        <v>3100</v>
      </c>
      <c r="G16" s="1"/>
      <c r="H16" s="1"/>
      <c r="I16" s="1"/>
      <c r="J16" s="1"/>
      <c r="K16" s="1"/>
    </row>
    <row r="17" spans="1:11">
      <c r="A17" s="1"/>
      <c r="B17" s="5" t="s">
        <v>89</v>
      </c>
      <c r="C17" s="6">
        <v>1500</v>
      </c>
      <c r="D17" s="1"/>
      <c r="E17" s="5" t="s">
        <v>90</v>
      </c>
      <c r="F17" s="6">
        <v>1100</v>
      </c>
      <c r="G17" s="1"/>
      <c r="H17" s="1"/>
      <c r="I17" s="1"/>
      <c r="J17" s="1"/>
      <c r="K17" s="1"/>
    </row>
    <row r="18" spans="1:11">
      <c r="A18" s="1"/>
      <c r="B18" s="5" t="s">
        <v>91</v>
      </c>
      <c r="C18" s="6">
        <v>1100</v>
      </c>
      <c r="D18" s="1"/>
      <c r="E18" s="5" t="s">
        <v>92</v>
      </c>
      <c r="F18" s="6">
        <v>500</v>
      </c>
      <c r="G18" s="1"/>
      <c r="H18" s="1"/>
      <c r="I18" s="1"/>
      <c r="J18" s="1"/>
      <c r="K18" s="1"/>
    </row>
    <row r="19" spans="1:11">
      <c r="A19" s="1"/>
      <c r="B19" s="5" t="s">
        <v>93</v>
      </c>
      <c r="C19" s="7">
        <f>SUM(C15:C18)-9000</f>
        <v>600</v>
      </c>
      <c r="D19" s="1"/>
      <c r="E19" s="1"/>
      <c r="F19" s="1"/>
      <c r="G19" s="1"/>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ht="30.75" customHeight="1">
      <c r="A22" s="1"/>
      <c r="B22" s="18" t="s">
        <v>94</v>
      </c>
      <c r="C22" s="18"/>
      <c r="D22" s="18"/>
      <c r="E22" s="18"/>
      <c r="F22" s="18"/>
      <c r="G22" s="18"/>
      <c r="H22" s="18"/>
      <c r="I22" s="18"/>
      <c r="J22" s="18"/>
      <c r="K22" s="1"/>
    </row>
    <row r="23" spans="1:11">
      <c r="A23" s="1"/>
      <c r="B23" s="20" t="s">
        <v>95</v>
      </c>
      <c r="C23" s="20"/>
      <c r="D23" s="20"/>
      <c r="E23" s="20" t="s">
        <v>96</v>
      </c>
      <c r="F23" s="20"/>
      <c r="G23" s="20"/>
      <c r="H23" s="20" t="s">
        <v>97</v>
      </c>
      <c r="I23" s="20"/>
      <c r="J23" s="20"/>
      <c r="K23" s="1"/>
    </row>
    <row r="24" spans="1:11">
      <c r="A24" s="1"/>
      <c r="B24" s="39">
        <f>SUM(C15:C18)-9000</f>
        <v>600</v>
      </c>
      <c r="C24" s="16"/>
      <c r="D24" s="16"/>
      <c r="E24" s="39">
        <f>9000-(F15+F17+F18)</f>
        <v>3100</v>
      </c>
      <c r="F24" s="16"/>
      <c r="G24" s="16"/>
      <c r="H24" s="17" t="s">
        <v>98</v>
      </c>
      <c r="I24" s="17"/>
      <c r="J24" s="17"/>
      <c r="K24" s="1"/>
    </row>
    <row r="25" spans="1:11">
      <c r="A25" s="1"/>
      <c r="B25" s="16"/>
      <c r="C25" s="16"/>
      <c r="D25" s="16"/>
      <c r="E25" s="16"/>
      <c r="F25" s="16"/>
      <c r="G25" s="16"/>
      <c r="H25" s="17"/>
      <c r="I25" s="17"/>
      <c r="J25" s="17"/>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18" t="s">
        <v>42</v>
      </c>
      <c r="C28" s="18"/>
      <c r="D28" s="18"/>
      <c r="E28" s="18"/>
      <c r="F28" s="18"/>
      <c r="G28" s="18"/>
      <c r="H28" s="18"/>
      <c r="I28" s="18"/>
      <c r="J28" s="18"/>
      <c r="K28" s="1"/>
    </row>
    <row r="29" spans="1:11">
      <c r="A29" s="1"/>
      <c r="B29" s="19" t="s">
        <v>99</v>
      </c>
      <c r="C29" s="19"/>
      <c r="D29" s="19"/>
      <c r="E29" s="19"/>
      <c r="F29" s="19"/>
      <c r="G29" s="19"/>
      <c r="H29" s="19"/>
      <c r="I29" s="19"/>
      <c r="J29" s="19"/>
      <c r="K29" s="1"/>
    </row>
    <row r="30" spans="1:11">
      <c r="A30" s="1"/>
      <c r="B30" s="19"/>
      <c r="C30" s="19"/>
      <c r="D30" s="19"/>
      <c r="E30" s="19"/>
      <c r="F30" s="19"/>
      <c r="G30" s="19"/>
      <c r="H30" s="19"/>
      <c r="I30" s="19"/>
      <c r="J30" s="19"/>
      <c r="K30" s="1"/>
    </row>
    <row r="31" spans="1:11">
      <c r="A31" s="1"/>
      <c r="B31" s="19"/>
      <c r="C31" s="19"/>
      <c r="D31" s="19"/>
      <c r="E31" s="19"/>
      <c r="F31" s="19"/>
      <c r="G31" s="19"/>
      <c r="H31" s="19"/>
      <c r="I31" s="19"/>
      <c r="J31" s="19"/>
      <c r="K31" s="1"/>
    </row>
    <row r="32" spans="1:11">
      <c r="A32" s="1"/>
      <c r="B32" s="19"/>
      <c r="C32" s="19"/>
      <c r="D32" s="19"/>
      <c r="E32" s="19"/>
      <c r="F32" s="19"/>
      <c r="G32" s="19"/>
      <c r="H32" s="19"/>
      <c r="I32" s="19"/>
      <c r="J32" s="19"/>
      <c r="K32" s="1"/>
    </row>
    <row r="33" spans="1:11">
      <c r="A33" s="1"/>
      <c r="B33" s="19"/>
      <c r="C33" s="19"/>
      <c r="D33" s="19"/>
      <c r="E33" s="19"/>
      <c r="F33" s="19"/>
      <c r="G33" s="19"/>
      <c r="H33" s="19"/>
      <c r="I33" s="19"/>
      <c r="J33" s="19"/>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ht="30.75" customHeight="1">
      <c r="A36" s="1"/>
      <c r="B36" s="13" t="s">
        <v>100</v>
      </c>
      <c r="C36" s="13"/>
      <c r="D36" s="13"/>
      <c r="E36" s="13"/>
      <c r="F36" s="13"/>
      <c r="G36" s="13"/>
      <c r="H36" s="13"/>
      <c r="I36" s="13"/>
      <c r="J36" s="13"/>
      <c r="K36" s="1"/>
    </row>
    <row r="37" spans="1:11">
      <c r="A37" s="1"/>
      <c r="B37" s="14" t="s">
        <v>101</v>
      </c>
      <c r="C37" s="14"/>
      <c r="D37" s="14"/>
      <c r="E37" s="14"/>
      <c r="F37" s="14"/>
      <c r="G37" s="14"/>
      <c r="H37" s="14"/>
      <c r="I37" s="14"/>
      <c r="J37" s="14"/>
      <c r="K37" s="1"/>
    </row>
    <row r="38" spans="1:11">
      <c r="A38" s="1"/>
      <c r="B38" s="14"/>
      <c r="C38" s="14"/>
      <c r="D38" s="14"/>
      <c r="E38" s="14"/>
      <c r="F38" s="14"/>
      <c r="G38" s="14"/>
      <c r="H38" s="14"/>
      <c r="I38" s="14"/>
      <c r="J38" s="14"/>
      <c r="K38" s="1"/>
    </row>
    <row r="39" spans="1:11">
      <c r="A39" s="1"/>
      <c r="B39" s="14"/>
      <c r="C39" s="14"/>
      <c r="D39" s="14"/>
      <c r="E39" s="14"/>
      <c r="F39" s="14"/>
      <c r="G39" s="14"/>
      <c r="H39" s="14"/>
      <c r="I39" s="14"/>
      <c r="J39" s="14"/>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ht="41.25" customHeight="1">
      <c r="A42" s="1"/>
      <c r="B42" s="15" t="s">
        <v>102</v>
      </c>
      <c r="C42" s="15"/>
      <c r="D42" s="15"/>
      <c r="E42" s="15"/>
      <c r="F42" s="15"/>
      <c r="G42" s="15"/>
      <c r="H42" s="15"/>
      <c r="I42" s="15"/>
      <c r="J42" s="15"/>
      <c r="K42" s="1"/>
    </row>
    <row r="43" spans="1:11" ht="32.1" customHeight="1">
      <c r="A43" s="1"/>
      <c r="B43" s="12" t="s">
        <v>135</v>
      </c>
      <c r="C43" s="12"/>
      <c r="D43" s="12"/>
      <c r="E43" s="12"/>
      <c r="F43" s="12"/>
      <c r="G43" s="12"/>
      <c r="H43" s="12"/>
      <c r="I43" s="12"/>
      <c r="J43" s="12"/>
      <c r="K43" s="1"/>
    </row>
    <row r="44" spans="1:11" ht="32.1" customHeight="1">
      <c r="A44" s="1"/>
      <c r="B44" s="12"/>
      <c r="C44" s="12"/>
      <c r="D44" s="12"/>
      <c r="E44" s="12"/>
      <c r="F44" s="12"/>
      <c r="G44" s="12"/>
      <c r="H44" s="12"/>
      <c r="I44" s="12"/>
      <c r="J44" s="12"/>
      <c r="K44" s="1"/>
    </row>
    <row r="45" spans="1:11" ht="32.1" customHeight="1">
      <c r="A45" s="1"/>
      <c r="B45" s="12"/>
      <c r="C45" s="12"/>
      <c r="D45" s="12"/>
      <c r="E45" s="12"/>
      <c r="F45" s="12"/>
      <c r="G45" s="12"/>
      <c r="H45" s="12"/>
      <c r="I45" s="12"/>
      <c r="J45" s="12"/>
      <c r="K45" s="1"/>
    </row>
    <row r="46" spans="1:11" ht="32.1" customHeight="1">
      <c r="A46" s="1"/>
      <c r="B46" s="12"/>
      <c r="C46" s="12"/>
      <c r="D46" s="12"/>
      <c r="E46" s="12"/>
      <c r="F46" s="12"/>
      <c r="G46" s="12"/>
      <c r="H46" s="12"/>
      <c r="I46" s="12"/>
      <c r="J46" s="12"/>
      <c r="K46" s="1"/>
    </row>
    <row r="47" spans="1:11" ht="32.1" customHeight="1">
      <c r="A47" s="1"/>
      <c r="B47" s="12"/>
      <c r="C47" s="12"/>
      <c r="D47" s="12"/>
      <c r="E47" s="12"/>
      <c r="F47" s="12"/>
      <c r="G47" s="12"/>
      <c r="H47" s="12"/>
      <c r="I47" s="12"/>
      <c r="J47" s="12"/>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ht="41.25" customHeight="1">
      <c r="A50" s="1"/>
      <c r="B50" s="15" t="s">
        <v>103</v>
      </c>
      <c r="C50" s="15"/>
      <c r="D50" s="15"/>
      <c r="E50" s="15"/>
      <c r="F50" s="15"/>
      <c r="G50" s="15"/>
      <c r="H50" s="15"/>
      <c r="I50" s="15"/>
      <c r="J50" s="15"/>
      <c r="K50" s="1"/>
    </row>
    <row r="51" spans="1:11" ht="32.1" customHeight="1">
      <c r="A51" s="1"/>
      <c r="B51" s="12"/>
      <c r="C51" s="12"/>
      <c r="D51" s="12"/>
      <c r="E51" s="12"/>
      <c r="F51" s="12"/>
      <c r="G51" s="12"/>
      <c r="H51" s="12"/>
      <c r="I51" s="12"/>
      <c r="J51" s="12"/>
      <c r="K51" s="1"/>
    </row>
    <row r="52" spans="1:11" ht="32.1" customHeight="1">
      <c r="A52" s="1"/>
      <c r="B52" s="12"/>
      <c r="C52" s="12"/>
      <c r="D52" s="12"/>
      <c r="E52" s="12"/>
      <c r="F52" s="12"/>
      <c r="G52" s="12"/>
      <c r="H52" s="12"/>
      <c r="I52" s="12"/>
      <c r="J52" s="12"/>
      <c r="K52" s="1"/>
    </row>
    <row r="53" spans="1:11" ht="32.1" customHeight="1">
      <c r="A53" s="1"/>
      <c r="B53" s="12"/>
      <c r="C53" s="12"/>
      <c r="D53" s="12"/>
      <c r="E53" s="12"/>
      <c r="F53" s="12"/>
      <c r="G53" s="12"/>
      <c r="H53" s="12"/>
      <c r="I53" s="12"/>
      <c r="J53" s="12"/>
      <c r="K53" s="1"/>
    </row>
    <row r="54" spans="1:11" ht="32.1" customHeight="1">
      <c r="A54" s="1"/>
      <c r="B54" s="12"/>
      <c r="C54" s="12"/>
      <c r="D54" s="12"/>
      <c r="E54" s="12"/>
      <c r="F54" s="12"/>
      <c r="G54" s="12"/>
      <c r="H54" s="12"/>
      <c r="I54" s="12"/>
      <c r="J54" s="12"/>
      <c r="K54" s="1"/>
    </row>
    <row r="55" spans="1:11" ht="32.1" customHeight="1">
      <c r="A55" s="1"/>
      <c r="B55" s="12"/>
      <c r="C55" s="12"/>
      <c r="D55" s="12"/>
      <c r="E55" s="12"/>
      <c r="F55" s="12"/>
      <c r="G55" s="12"/>
      <c r="H55" s="12"/>
      <c r="I55" s="12"/>
      <c r="J55" s="12"/>
      <c r="K55" s="1"/>
    </row>
    <row r="56" spans="1:11">
      <c r="A56" s="1"/>
      <c r="B56" s="1"/>
      <c r="C56" s="1"/>
      <c r="D56" s="1"/>
      <c r="E56" s="1"/>
      <c r="F56" s="1"/>
      <c r="G56" s="1"/>
      <c r="H56" s="1"/>
      <c r="I56" s="1"/>
      <c r="J56" s="1"/>
      <c r="K56" s="1"/>
    </row>
    <row r="57" spans="1:11">
      <c r="A57" s="1"/>
      <c r="B57" s="1"/>
      <c r="C57" s="1"/>
      <c r="D57" s="1"/>
      <c r="E57" s="1"/>
      <c r="F57" s="1"/>
      <c r="G57" s="1"/>
      <c r="H57" s="1"/>
      <c r="I57" s="1"/>
      <c r="J57" s="1"/>
      <c r="K57" s="1"/>
    </row>
    <row r="58" spans="1:11">
      <c r="A58" s="1"/>
      <c r="B58" s="1"/>
      <c r="C58" s="1"/>
      <c r="D58" s="1"/>
      <c r="E58" s="1"/>
      <c r="F58" s="1"/>
      <c r="G58" s="1"/>
      <c r="H58" s="1"/>
      <c r="I58" s="1"/>
      <c r="J58" s="1"/>
      <c r="K58" s="1"/>
    </row>
  </sheetData>
  <mergeCells count="23">
    <mergeCell ref="B2:J2"/>
    <mergeCell ref="B3:J3"/>
    <mergeCell ref="B4:J4"/>
    <mergeCell ref="B7:J7"/>
    <mergeCell ref="B8:E10"/>
    <mergeCell ref="F8:J10"/>
    <mergeCell ref="B13:C13"/>
    <mergeCell ref="E13:F13"/>
    <mergeCell ref="B22:J22"/>
    <mergeCell ref="B23:D23"/>
    <mergeCell ref="E23:G23"/>
    <mergeCell ref="H23:J23"/>
    <mergeCell ref="B24:D25"/>
    <mergeCell ref="E24:G25"/>
    <mergeCell ref="H24:J25"/>
    <mergeCell ref="B28:J28"/>
    <mergeCell ref="B29:J33"/>
    <mergeCell ref="B51:J55"/>
    <mergeCell ref="B36:J36"/>
    <mergeCell ref="B37:J39"/>
    <mergeCell ref="B42:J42"/>
    <mergeCell ref="B43:J47"/>
    <mergeCell ref="B50:J5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68"/>
  <sheetViews>
    <sheetView showGridLines="0" workbookViewId="0">
      <selection activeCell="B69" sqref="B69"/>
    </sheetView>
  </sheetViews>
  <sheetFormatPr baseColWidth="10" defaultColWidth="8.875" defaultRowHeight="14.25"/>
  <cols>
    <col min="1" max="1" width="3" customWidth="1"/>
    <col min="2" max="2" width="38" customWidth="1"/>
    <col min="3" max="4" width="17" customWidth="1"/>
    <col min="5" max="6" width="18" customWidth="1"/>
    <col min="7" max="7" width="4" customWidth="1"/>
    <col min="8" max="10" width="20" customWidth="1"/>
    <col min="11" max="11" width="3" customWidth="1"/>
  </cols>
  <sheetData>
    <row r="1" spans="1:11">
      <c r="A1" s="1"/>
      <c r="B1" s="1"/>
      <c r="C1" s="1"/>
      <c r="D1" s="1"/>
      <c r="E1" s="1"/>
      <c r="F1" s="1"/>
      <c r="G1" s="1"/>
      <c r="H1" s="1"/>
      <c r="I1" s="1"/>
      <c r="J1" s="1"/>
      <c r="K1" s="1"/>
    </row>
    <row r="2" spans="1:11" ht="45.2" customHeight="1">
      <c r="A2" s="1"/>
      <c r="B2" s="21" t="s">
        <v>104</v>
      </c>
      <c r="C2" s="21"/>
      <c r="D2" s="21"/>
      <c r="E2" s="21"/>
      <c r="F2" s="21"/>
      <c r="G2" s="21"/>
      <c r="H2" s="21"/>
      <c r="I2" s="21"/>
      <c r="J2" s="21"/>
      <c r="K2" s="1"/>
    </row>
    <row r="3" spans="1:11" ht="30.75" customHeight="1">
      <c r="A3" s="1"/>
      <c r="B3" s="22" t="s">
        <v>105</v>
      </c>
      <c r="C3" s="22"/>
      <c r="D3" s="22"/>
      <c r="E3" s="22"/>
      <c r="F3" s="22"/>
      <c r="G3" s="22"/>
      <c r="H3" s="22"/>
      <c r="I3" s="22"/>
      <c r="J3" s="22"/>
      <c r="K3" s="1"/>
    </row>
    <row r="4" spans="1:11" ht="6.75" customHeight="1">
      <c r="A4" s="1"/>
      <c r="B4" s="23"/>
      <c r="C4" s="23"/>
      <c r="D4" s="23"/>
      <c r="E4" s="23"/>
      <c r="F4" s="23"/>
      <c r="G4" s="23"/>
      <c r="H4" s="23"/>
      <c r="I4" s="23"/>
      <c r="J4" s="23"/>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8" t="s">
        <v>106</v>
      </c>
      <c r="C7" s="18"/>
      <c r="D7" s="18"/>
      <c r="E7" s="18"/>
      <c r="F7" s="18"/>
      <c r="G7" s="18"/>
      <c r="H7" s="18"/>
      <c r="I7" s="18"/>
      <c r="J7" s="18"/>
      <c r="K7" s="1"/>
    </row>
    <row r="8" spans="1:11" ht="25.5">
      <c r="A8" s="1"/>
      <c r="B8" s="10" t="s">
        <v>107</v>
      </c>
      <c r="C8" s="37" t="s">
        <v>136</v>
      </c>
      <c r="D8" s="3"/>
      <c r="E8" s="3"/>
      <c r="F8" s="10" t="s">
        <v>108</v>
      </c>
      <c r="G8" s="11"/>
      <c r="H8" s="11">
        <f>820067.6+58319.7</f>
        <v>878387.29999999993</v>
      </c>
      <c r="I8" s="11"/>
      <c r="J8" s="11"/>
      <c r="K8" s="1"/>
    </row>
    <row r="9" spans="1:11">
      <c r="A9" s="1"/>
      <c r="B9" s="1"/>
      <c r="C9" s="1"/>
      <c r="D9" s="1"/>
      <c r="E9" s="1"/>
      <c r="F9" s="1"/>
      <c r="G9" s="1"/>
      <c r="H9" s="1"/>
      <c r="I9" s="1"/>
      <c r="J9" s="1"/>
      <c r="K9" s="1"/>
    </row>
    <row r="10" spans="1:11" ht="25.5">
      <c r="A10" s="1"/>
      <c r="B10" s="10" t="s">
        <v>109</v>
      </c>
      <c r="C10" s="36">
        <v>46262</v>
      </c>
      <c r="D10" s="3"/>
      <c r="E10" s="3"/>
      <c r="F10" s="10" t="s">
        <v>110</v>
      </c>
      <c r="G10" s="35" t="s">
        <v>111</v>
      </c>
      <c r="H10" s="35"/>
      <c r="I10" s="35"/>
      <c r="J10" s="35"/>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18" t="s">
        <v>112</v>
      </c>
      <c r="C13" s="18"/>
      <c r="D13" s="18"/>
      <c r="E13" s="18"/>
      <c r="F13" s="18"/>
      <c r="G13" s="18"/>
      <c r="H13" s="18"/>
      <c r="I13" s="18"/>
      <c r="J13" s="18"/>
      <c r="K13" s="1"/>
    </row>
    <row r="14" spans="1:11" ht="37.35" customHeight="1">
      <c r="A14" s="1"/>
      <c r="B14" s="4" t="s">
        <v>26</v>
      </c>
      <c r="C14" s="4" t="s">
        <v>113</v>
      </c>
      <c r="D14" s="4" t="s">
        <v>114</v>
      </c>
      <c r="E14" s="4" t="s">
        <v>115</v>
      </c>
      <c r="F14" s="4" t="s">
        <v>116</v>
      </c>
      <c r="G14" s="1"/>
      <c r="H14" s="1"/>
      <c r="I14" s="1"/>
      <c r="J14" s="1"/>
      <c r="K14" s="1"/>
    </row>
    <row r="15" spans="1:11">
      <c r="A15" s="1"/>
      <c r="B15" s="5" t="s">
        <v>117</v>
      </c>
      <c r="C15" s="11">
        <v>78597.511313364797</v>
      </c>
      <c r="D15" s="11">
        <v>84835.192942658701</v>
      </c>
      <c r="E15" s="8">
        <f>((D15/C15)-1)</f>
        <v>7.936232999063475E-2</v>
      </c>
      <c r="F15" s="8">
        <f>D15/$H$8</f>
        <v>9.6580623311218985E-2</v>
      </c>
      <c r="G15" s="1"/>
      <c r="H15" s="1"/>
      <c r="I15" s="1"/>
      <c r="J15" s="1"/>
      <c r="K15" s="1"/>
    </row>
    <row r="16" spans="1:11">
      <c r="A16" s="1"/>
      <c r="B16" s="5" t="s">
        <v>32</v>
      </c>
      <c r="C16" s="11">
        <v>114464.08566819401</v>
      </c>
      <c r="D16" s="11">
        <v>118927.00103401</v>
      </c>
      <c r="E16" s="8">
        <f t="shared" ref="E16:E20" si="0">((D16/C16)-1)</f>
        <v>3.8989656360449931E-2</v>
      </c>
      <c r="F16" s="8">
        <f t="shared" ref="F16:F19" si="1">D16/$H$8</f>
        <v>0.13539244139118359</v>
      </c>
      <c r="G16" s="1"/>
      <c r="H16" s="1"/>
      <c r="I16" s="1"/>
      <c r="J16" s="1"/>
      <c r="K16" s="1"/>
    </row>
    <row r="17" spans="1:12">
      <c r="A17" s="1"/>
      <c r="B17" s="5" t="s">
        <v>33</v>
      </c>
      <c r="C17" s="11">
        <v>45286.529207953201</v>
      </c>
      <c r="D17" s="11">
        <v>47780.226716185898</v>
      </c>
      <c r="E17" s="8">
        <f t="shared" si="0"/>
        <v>5.5064884676451431E-2</v>
      </c>
      <c r="F17" s="8">
        <f t="shared" si="1"/>
        <v>5.4395397925477637E-2</v>
      </c>
      <c r="G17" s="1"/>
      <c r="H17" s="1"/>
      <c r="I17" s="1"/>
      <c r="J17" s="1"/>
      <c r="K17" s="1"/>
    </row>
    <row r="18" spans="1:12">
      <c r="A18" s="1"/>
      <c r="B18" s="5" t="s">
        <v>118</v>
      </c>
      <c r="C18" s="11">
        <v>169370.393096997</v>
      </c>
      <c r="D18" s="11">
        <v>186914.85740552601</v>
      </c>
      <c r="E18" s="8">
        <f t="shared" si="0"/>
        <v>0.10358637060304532</v>
      </c>
      <c r="F18" s="44">
        <f t="shared" si="1"/>
        <v>0.21279321479890023</v>
      </c>
      <c r="G18" s="1"/>
      <c r="H18" s="1"/>
      <c r="I18" s="1"/>
      <c r="J18" s="1"/>
      <c r="K18" s="1"/>
    </row>
    <row r="19" spans="1:12">
      <c r="A19" s="1"/>
      <c r="B19" s="5" t="s">
        <v>119</v>
      </c>
      <c r="C19" s="11">
        <v>34720.910627915</v>
      </c>
      <c r="D19" s="11">
        <v>39082.247668555501</v>
      </c>
      <c r="E19" s="44">
        <f t="shared" si="0"/>
        <v>0.12561125159931907</v>
      </c>
      <c r="F19" s="8">
        <f t="shared" si="1"/>
        <v>4.449318389343232E-2</v>
      </c>
      <c r="G19" s="1"/>
      <c r="H19" s="1"/>
      <c r="I19" s="1"/>
      <c r="J19" s="1"/>
      <c r="K19" s="1"/>
    </row>
    <row r="20" spans="1:12">
      <c r="A20" s="1"/>
      <c r="B20" s="1" t="s">
        <v>137</v>
      </c>
      <c r="C20" s="1"/>
      <c r="D20" s="1"/>
      <c r="E20" s="42"/>
      <c r="F20" s="1"/>
      <c r="G20" s="1"/>
      <c r="H20" s="1"/>
      <c r="I20" s="1"/>
      <c r="J20" s="1"/>
      <c r="K20" s="1"/>
    </row>
    <row r="21" spans="1:12">
      <c r="A21" s="1"/>
      <c r="B21" s="1"/>
      <c r="C21" s="1"/>
      <c r="D21" s="1"/>
      <c r="E21" s="1"/>
      <c r="F21" s="1"/>
      <c r="G21" s="1"/>
      <c r="H21" s="1"/>
      <c r="I21" s="1"/>
      <c r="J21" s="1"/>
      <c r="K21" s="1"/>
    </row>
    <row r="22" spans="1:12" ht="30.75" customHeight="1">
      <c r="A22" s="1"/>
      <c r="B22" s="13" t="s">
        <v>120</v>
      </c>
      <c r="C22" s="13"/>
      <c r="D22" s="13"/>
      <c r="E22" s="13"/>
      <c r="F22" s="13"/>
      <c r="G22" s="13"/>
      <c r="H22" s="13"/>
      <c r="I22" s="13"/>
      <c r="J22" s="13"/>
      <c r="K22" s="1"/>
    </row>
    <row r="23" spans="1:12">
      <c r="A23" s="1"/>
      <c r="B23" s="14" t="s">
        <v>121</v>
      </c>
      <c r="C23" s="14"/>
      <c r="D23" s="14"/>
      <c r="E23" s="14"/>
      <c r="F23" s="14"/>
      <c r="G23" s="14"/>
      <c r="H23" s="14"/>
      <c r="I23" s="14"/>
      <c r="J23" s="14"/>
      <c r="K23" s="1"/>
    </row>
    <row r="24" spans="1:12">
      <c r="A24" s="1"/>
      <c r="B24" s="14"/>
      <c r="C24" s="14"/>
      <c r="D24" s="14"/>
      <c r="E24" s="14"/>
      <c r="F24" s="14"/>
      <c r="G24" s="14"/>
      <c r="H24" s="14"/>
      <c r="I24" s="14"/>
      <c r="J24" s="14"/>
      <c r="K24" s="1"/>
    </row>
    <row r="25" spans="1:12">
      <c r="A25" s="1"/>
      <c r="B25" s="14"/>
      <c r="C25" s="14"/>
      <c r="D25" s="14"/>
      <c r="E25" s="14"/>
      <c r="F25" s="14"/>
      <c r="G25" s="14"/>
      <c r="H25" s="14"/>
      <c r="I25" s="14"/>
      <c r="J25" s="14"/>
      <c r="K25" s="1"/>
    </row>
    <row r="26" spans="1:12">
      <c r="A26" s="1"/>
      <c r="B26" s="1"/>
      <c r="C26" s="1"/>
      <c r="D26" s="1"/>
      <c r="E26" s="1"/>
      <c r="F26" s="1"/>
      <c r="G26" s="1"/>
      <c r="H26" s="1"/>
      <c r="I26" s="1"/>
      <c r="J26" s="1"/>
      <c r="K26" s="1"/>
    </row>
    <row r="27" spans="1:12">
      <c r="A27" s="1"/>
      <c r="B27" s="1"/>
      <c r="C27" s="1"/>
      <c r="D27" s="1"/>
      <c r="E27" s="1"/>
      <c r="F27" s="1"/>
      <c r="G27" s="1"/>
      <c r="H27" s="1"/>
      <c r="I27" s="1"/>
      <c r="J27" s="1"/>
      <c r="K27" s="1"/>
    </row>
    <row r="28" spans="1:12" ht="30.75" customHeight="1">
      <c r="A28" s="1"/>
      <c r="B28" s="18" t="s">
        <v>122</v>
      </c>
      <c r="C28" s="18"/>
      <c r="D28" s="18"/>
      <c r="E28" s="18"/>
      <c r="F28" s="18"/>
      <c r="G28" s="18"/>
      <c r="H28" s="18"/>
      <c r="I28" s="18"/>
      <c r="J28" s="18"/>
      <c r="K28" s="1"/>
    </row>
    <row r="29" spans="1:12" ht="15">
      <c r="A29" s="1"/>
      <c r="B29" s="20" t="s">
        <v>123</v>
      </c>
      <c r="C29" s="20"/>
      <c r="D29" s="20"/>
      <c r="E29" s="20"/>
      <c r="F29" s="43">
        <f>MAX(F15:F19)</f>
        <v>0.21279321479890023</v>
      </c>
      <c r="G29" s="34"/>
      <c r="H29" s="34"/>
      <c r="I29" s="34"/>
      <c r="J29" s="34"/>
      <c r="K29" s="1"/>
      <c r="L29" t="s">
        <v>138</v>
      </c>
    </row>
    <row r="30" spans="1:12">
      <c r="A30" s="1"/>
      <c r="B30" s="1"/>
      <c r="C30" s="1"/>
      <c r="D30" s="1"/>
      <c r="E30" s="1"/>
      <c r="F30" s="1"/>
      <c r="G30" s="1"/>
      <c r="H30" s="1"/>
      <c r="I30" s="1"/>
      <c r="J30" s="1"/>
      <c r="K30" s="1"/>
    </row>
    <row r="31" spans="1:12" ht="15">
      <c r="A31" s="1"/>
      <c r="B31" s="20" t="s">
        <v>124</v>
      </c>
      <c r="C31" s="20"/>
      <c r="D31" s="20"/>
      <c r="E31" s="20"/>
      <c r="F31" s="43">
        <f>MAX(E15:E19)</f>
        <v>0.12561125159931907</v>
      </c>
      <c r="G31" s="34"/>
      <c r="H31" s="34"/>
      <c r="I31" s="34"/>
      <c r="J31" s="34"/>
      <c r="K31" s="1"/>
      <c r="L31" t="s">
        <v>139</v>
      </c>
    </row>
    <row r="32" spans="1:12">
      <c r="A32" s="1"/>
      <c r="B32" s="1"/>
      <c r="C32" s="1"/>
      <c r="D32" s="1"/>
      <c r="E32" s="1"/>
      <c r="F32" s="1"/>
      <c r="G32" s="1"/>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c r="A36" s="1"/>
      <c r="B36" s="1"/>
      <c r="C36" s="1"/>
      <c r="D36" s="1"/>
      <c r="E36" s="1"/>
      <c r="F36" s="1"/>
      <c r="G36" s="1"/>
      <c r="H36" s="1"/>
      <c r="I36" s="1"/>
      <c r="J36" s="1"/>
      <c r="K36" s="1"/>
    </row>
    <row r="37" spans="1:11">
      <c r="A37" s="1"/>
      <c r="B37" s="1"/>
      <c r="C37" s="1"/>
      <c r="D37" s="1"/>
      <c r="E37" s="1"/>
      <c r="F37" s="1"/>
      <c r="G37" s="1"/>
      <c r="H37" s="1"/>
      <c r="I37" s="1"/>
      <c r="J37" s="1"/>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c r="A42" s="1"/>
      <c r="B42" s="1"/>
      <c r="C42" s="1"/>
      <c r="D42" s="1"/>
      <c r="E42" s="1"/>
      <c r="F42" s="1"/>
      <c r="G42" s="1"/>
      <c r="H42" s="1"/>
      <c r="I42" s="1"/>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ht="41.25" customHeight="1">
      <c r="A52" s="1"/>
      <c r="B52" s="15" t="s">
        <v>125</v>
      </c>
      <c r="C52" s="15"/>
      <c r="D52" s="15"/>
      <c r="E52" s="15"/>
      <c r="F52" s="15"/>
      <c r="G52" s="15"/>
      <c r="H52" s="15"/>
      <c r="I52" s="15"/>
      <c r="J52" s="15"/>
      <c r="K52" s="1"/>
    </row>
    <row r="53" spans="1:11" ht="32.1" customHeight="1">
      <c r="A53" s="1"/>
      <c r="B53" s="12" t="s">
        <v>140</v>
      </c>
      <c r="C53" s="12"/>
      <c r="D53" s="12"/>
      <c r="E53" s="12"/>
      <c r="F53" s="12"/>
      <c r="G53" s="12"/>
      <c r="H53" s="12"/>
      <c r="I53" s="12"/>
      <c r="J53" s="12"/>
      <c r="K53" s="1"/>
    </row>
    <row r="54" spans="1:11" ht="32.1" customHeight="1">
      <c r="A54" s="1"/>
      <c r="B54" s="12"/>
      <c r="C54" s="12"/>
      <c r="D54" s="12"/>
      <c r="E54" s="12"/>
      <c r="F54" s="12"/>
      <c r="G54" s="12"/>
      <c r="H54" s="12"/>
      <c r="I54" s="12"/>
      <c r="J54" s="12"/>
      <c r="K54" s="1"/>
    </row>
    <row r="55" spans="1:11" ht="32.1" customHeight="1">
      <c r="A55" s="1"/>
      <c r="B55" s="12"/>
      <c r="C55" s="12"/>
      <c r="D55" s="12"/>
      <c r="E55" s="12"/>
      <c r="F55" s="12"/>
      <c r="G55" s="12"/>
      <c r="H55" s="12"/>
      <c r="I55" s="12"/>
      <c r="J55" s="12"/>
      <c r="K55" s="1"/>
    </row>
    <row r="56" spans="1:11" ht="32.1" customHeight="1">
      <c r="A56" s="1"/>
      <c r="B56" s="12"/>
      <c r="C56" s="12"/>
      <c r="D56" s="12"/>
      <c r="E56" s="12"/>
      <c r="F56" s="12"/>
      <c r="G56" s="12"/>
      <c r="H56" s="12"/>
      <c r="I56" s="12"/>
      <c r="J56" s="12"/>
      <c r="K56" s="1"/>
    </row>
    <row r="57" spans="1:11">
      <c r="A57" s="1"/>
      <c r="B57" s="1"/>
      <c r="C57" s="1"/>
      <c r="D57" s="1"/>
      <c r="E57" s="1"/>
      <c r="F57" s="1"/>
      <c r="G57" s="1"/>
      <c r="H57" s="1"/>
      <c r="I57" s="1"/>
      <c r="J57" s="1"/>
      <c r="K57" s="1"/>
    </row>
    <row r="58" spans="1:11" ht="41.25" customHeight="1">
      <c r="A58" s="1"/>
      <c r="B58" s="15" t="s">
        <v>126</v>
      </c>
      <c r="C58" s="15"/>
      <c r="D58" s="15"/>
      <c r="E58" s="15"/>
      <c r="F58" s="15"/>
      <c r="G58" s="15"/>
      <c r="H58" s="15"/>
      <c r="I58" s="15"/>
      <c r="J58" s="15"/>
      <c r="K58" s="1"/>
    </row>
    <row r="59" spans="1:11" ht="32.1" customHeight="1">
      <c r="A59" s="1"/>
      <c r="B59" s="12" t="s">
        <v>141</v>
      </c>
      <c r="C59" s="12"/>
      <c r="D59" s="12"/>
      <c r="E59" s="12"/>
      <c r="F59" s="12"/>
      <c r="G59" s="12"/>
      <c r="H59" s="12"/>
      <c r="I59" s="12"/>
      <c r="J59" s="12"/>
      <c r="K59" s="1"/>
    </row>
    <row r="60" spans="1:11" ht="32.1" customHeight="1">
      <c r="A60" s="1"/>
      <c r="B60" s="12"/>
      <c r="C60" s="12"/>
      <c r="D60" s="12"/>
      <c r="E60" s="12"/>
      <c r="F60" s="12"/>
      <c r="G60" s="12"/>
      <c r="H60" s="12"/>
      <c r="I60" s="12"/>
      <c r="J60" s="12"/>
      <c r="K60" s="1"/>
    </row>
    <row r="61" spans="1:11" ht="32.1" customHeight="1">
      <c r="A61" s="1"/>
      <c r="B61" s="12"/>
      <c r="C61" s="12"/>
      <c r="D61" s="12"/>
      <c r="E61" s="12"/>
      <c r="F61" s="12"/>
      <c r="G61" s="12"/>
      <c r="H61" s="12"/>
      <c r="I61" s="12"/>
      <c r="J61" s="12"/>
      <c r="K61" s="1"/>
    </row>
    <row r="62" spans="1:11" ht="32.1" customHeight="1">
      <c r="A62" s="1"/>
      <c r="B62" s="12"/>
      <c r="C62" s="12"/>
      <c r="D62" s="12"/>
      <c r="E62" s="12"/>
      <c r="F62" s="12"/>
      <c r="G62" s="12"/>
      <c r="H62" s="12"/>
      <c r="I62" s="12"/>
      <c r="J62" s="12"/>
      <c r="K62" s="1"/>
    </row>
    <row r="63" spans="1:11">
      <c r="A63" s="1"/>
      <c r="B63" s="1"/>
      <c r="C63" s="1"/>
      <c r="D63" s="1"/>
      <c r="E63" s="1"/>
      <c r="F63" s="1"/>
      <c r="G63" s="1"/>
      <c r="H63" s="1"/>
      <c r="I63" s="1"/>
      <c r="J63" s="1"/>
      <c r="K63" s="1"/>
    </row>
    <row r="64" spans="1:11" ht="41.25" customHeight="1">
      <c r="A64" s="1"/>
      <c r="B64" s="15" t="s">
        <v>127</v>
      </c>
      <c r="C64" s="15"/>
      <c r="D64" s="15"/>
      <c r="E64" s="15"/>
      <c r="F64" s="15"/>
      <c r="G64" s="15"/>
      <c r="H64" s="15"/>
      <c r="I64" s="15"/>
      <c r="J64" s="15"/>
      <c r="K64" s="1"/>
    </row>
    <row r="65" spans="1:11" ht="32.1" customHeight="1">
      <c r="A65" s="1"/>
      <c r="B65" s="12" t="s">
        <v>142</v>
      </c>
      <c r="C65" s="12"/>
      <c r="D65" s="12"/>
      <c r="E65" s="12"/>
      <c r="F65" s="12"/>
      <c r="G65" s="12"/>
      <c r="H65" s="12"/>
      <c r="I65" s="12"/>
      <c r="J65" s="12"/>
      <c r="K65" s="1"/>
    </row>
    <row r="66" spans="1:11" ht="32.1" customHeight="1">
      <c r="A66" s="1"/>
      <c r="B66" s="12"/>
      <c r="C66" s="12"/>
      <c r="D66" s="12"/>
      <c r="E66" s="12"/>
      <c r="F66" s="12"/>
      <c r="G66" s="12"/>
      <c r="H66" s="12"/>
      <c r="I66" s="12"/>
      <c r="J66" s="12"/>
      <c r="K66" s="1"/>
    </row>
    <row r="67" spans="1:11" ht="32.1" customHeight="1">
      <c r="A67" s="1"/>
      <c r="B67" s="12"/>
      <c r="C67" s="12"/>
      <c r="D67" s="12"/>
      <c r="E67" s="12"/>
      <c r="F67" s="12"/>
      <c r="G67" s="12"/>
      <c r="H67" s="12"/>
      <c r="I67" s="12"/>
      <c r="J67" s="12"/>
      <c r="K67" s="1"/>
    </row>
    <row r="68" spans="1:11" ht="32.1" customHeight="1">
      <c r="A68" s="1"/>
      <c r="B68" s="12"/>
      <c r="C68" s="12"/>
      <c r="D68" s="12"/>
      <c r="E68" s="12"/>
      <c r="F68" s="12"/>
      <c r="G68" s="12"/>
      <c r="H68" s="12"/>
      <c r="I68" s="12"/>
      <c r="J68" s="12"/>
      <c r="K68" s="1"/>
    </row>
  </sheetData>
  <mergeCells count="19">
    <mergeCell ref="B2:J2"/>
    <mergeCell ref="B3:J3"/>
    <mergeCell ref="B4:J4"/>
    <mergeCell ref="B7:J7"/>
    <mergeCell ref="G10:J10"/>
    <mergeCell ref="B13:J13"/>
    <mergeCell ref="B22:J22"/>
    <mergeCell ref="B23:J25"/>
    <mergeCell ref="B28:J28"/>
    <mergeCell ref="B29:E29"/>
    <mergeCell ref="F29:J29"/>
    <mergeCell ref="B59:J62"/>
    <mergeCell ref="B64:J64"/>
    <mergeCell ref="B65:J68"/>
    <mergeCell ref="B31:E31"/>
    <mergeCell ref="F31:J31"/>
    <mergeCell ref="B52:J52"/>
    <mergeCell ref="B53:J56"/>
    <mergeCell ref="B58:J5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Portada</vt:lpstr>
      <vt:lpstr>E1 Producción</vt:lpstr>
      <vt:lpstr>E2 Gasto</vt:lpstr>
      <vt:lpstr>E3 Ingreso</vt:lpstr>
      <vt:lpstr>E4 Tres enfoques</vt:lpstr>
      <vt:lpstr>E5 Guatemala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Kenny ㅤ</cp:lastModifiedBy>
  <dcterms:modified xsi:type="dcterms:W3CDTF">2026-08-29T02:22:23Z</dcterms:modified>
</cp:coreProperties>
</file>