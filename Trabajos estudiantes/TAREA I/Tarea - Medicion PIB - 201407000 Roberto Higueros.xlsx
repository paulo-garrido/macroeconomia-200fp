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ober\Desktop\"/>
    </mc:Choice>
  </mc:AlternateContent>
  <xr:revisionPtr revIDLastSave="0" documentId="13_ncr:1_{AFB35A2A-8083-4DA1-8EA2-1970597C0945}" xr6:coauthVersionLast="47" xr6:coauthVersionMax="47" xr10:uidLastSave="{00000000-0000-0000-0000-000000000000}"/>
  <bookViews>
    <workbookView xWindow="-108" yWindow="-108" windowWidth="23256" windowHeight="12456" xr2:uid="{00000000-000D-0000-FFFF-FFFF00000000}"/>
  </bookViews>
  <sheets>
    <sheet name="Portada" sheetId="1" r:id="rId1"/>
    <sheet name="E1 Producción" sheetId="2" r:id="rId2"/>
    <sheet name="E2 Gasto" sheetId="3" r:id="rId3"/>
    <sheet name="E3 Ingreso" sheetId="4" r:id="rId4"/>
    <sheet name="E4 Tres enfoques" sheetId="5" r:id="rId5"/>
    <sheet name="E5 Guatemala" sheetId="6" r:id="rId6"/>
  </sheet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 i="6" l="1"/>
  <c r="F19" i="6"/>
  <c r="F18" i="6"/>
  <c r="F17" i="6"/>
  <c r="F16" i="6"/>
  <c r="F29" i="6" s="1"/>
  <c r="E15" i="6"/>
  <c r="E16" i="6"/>
  <c r="E17" i="6"/>
  <c r="E18" i="6"/>
  <c r="E19" i="6"/>
  <c r="F15" i="6"/>
  <c r="E24" i="5" l="1"/>
  <c r="B24" i="5"/>
  <c r="C19" i="5"/>
  <c r="F16" i="5"/>
  <c r="E17" i="4"/>
  <c r="E19" i="4" s="1"/>
  <c r="E24" i="3"/>
  <c r="E20" i="3"/>
  <c r="E18" i="3"/>
  <c r="E22" i="3" s="1"/>
  <c r="E23" i="2"/>
  <c r="E10" i="2"/>
  <c r="E11" i="2"/>
  <c r="E12" i="2"/>
  <c r="E9" i="2"/>
  <c r="E21" i="2" s="1"/>
  <c r="D11" i="4" l="1"/>
  <c r="D10" i="4"/>
  <c r="D9" i="4"/>
  <c r="E25" i="2"/>
  <c r="F9" i="2" l="1"/>
  <c r="F11" i="2"/>
  <c r="F10" i="2"/>
  <c r="F12" i="2"/>
</calcChain>
</file>

<file path=xl/sharedStrings.xml><?xml version="1.0" encoding="utf-8"?>
<sst xmlns="http://schemas.openxmlformats.org/spreadsheetml/2006/main" count="178" uniqueCount="163">
  <si>
    <t>TAREA DE APLICACIÓN</t>
  </si>
  <si>
    <t>MEDICIÓN DEL PRODUCTO INTERNO BRUTO</t>
  </si>
  <si>
    <t>Producción · Gasto · Ingreso · Lectura del PIB de Guatemala
Formato de trabajo para desarrollar procedimientos, resultados e interpretaciones.</t>
  </si>
  <si>
    <t>DATOS DEL ESTUDIANTE</t>
  </si>
  <si>
    <t>Nombre</t>
  </si>
  <si>
    <t>Carné</t>
  </si>
  <si>
    <t>Fecha</t>
  </si>
  <si>
    <t>Sección / grupo</t>
  </si>
  <si>
    <t>CÓMO UTILIZAR ESTE ARCHIVO</t>
  </si>
  <si>
    <t>1. Use las celdas crema para desarrollar cálculos, completar resultados o ingresar datos del Banco de Guatemala.</t>
  </si>
  <si>
    <t>2. Mantenga un procedimiento legible. La tarea evalúa cálculo e interpretación, no únicamente la respuesta final.</t>
  </si>
  <si>
    <t>3. Los bloques azul claro son espacios para redactar interpretación económica y reflexión.</t>
  </si>
  <si>
    <t>4. En el ejercicio 5 registre la fuente exacta, la fecha de consulta y el PIB total utilizado como denominador.</t>
  </si>
  <si>
    <t>RECORRIDO DE LA TAREA</t>
  </si>
  <si>
    <t>01
PRODUCCIÓN
VAB y estructura</t>
  </si>
  <si>
    <t>02
GASTO
C + I + G + (X − M)</t>
  </si>
  <si>
    <t>03
INGRESO
Distribución primaria</t>
  </si>
  <si>
    <t>04
TRES ENFOQUES
Identidades y variables faltantes</t>
  </si>
  <si>
    <t>05
GUATEMALA
Estructura productiva real</t>
  </si>
  <si>
    <t>LEYENDA VISUAL</t>
  </si>
  <si>
    <t>COMPLETAR
por el estudiante</t>
  </si>
  <si>
    <t>INTERPRETAR
comentario / reflexión</t>
  </si>
  <si>
    <t>RECORDAR
fórmula o idea conceptual</t>
  </si>
  <si>
    <t>01  ·  PIB POR EL ENFOQUE DE LA PRODUCCIÓN</t>
  </si>
  <si>
    <t>Calcule el VAB por actividad, el VAB total, los impuestos netos y el PIB.</t>
  </si>
  <si>
    <t>DATOS Y CÁLCULOS</t>
  </si>
  <si>
    <t>Actividad económica</t>
  </si>
  <si>
    <t>VBP</t>
  </si>
  <si>
    <t>Consumo intermedio</t>
  </si>
  <si>
    <t>VAB</t>
  </si>
  <si>
    <t>% del VAB total</t>
  </si>
  <si>
    <t>Agricultura</t>
  </si>
  <si>
    <t>Industrias manufactureras</t>
  </si>
  <si>
    <t>Construcción</t>
  </si>
  <si>
    <t>Comercio y otros servicios</t>
  </si>
  <si>
    <t>DATOS ADICIONALES</t>
  </si>
  <si>
    <t>Impuestos sobre los productos</t>
  </si>
  <si>
    <t>Subvenciones sobre los productos</t>
  </si>
  <si>
    <t>RESULTADOS DE CIERRE</t>
  </si>
  <si>
    <t>VAB total</t>
  </si>
  <si>
    <t>Impuestos netos sobre los productos</t>
  </si>
  <si>
    <t>PIB por el enfoque de la producción</t>
  </si>
  <si>
    <t>PROCEDIMIENTO</t>
  </si>
  <si>
    <t>RECORDATORIO CONCEPTUAL</t>
  </si>
  <si>
    <t>VABᵢ = Producciónᵢ − Consumo intermedioᵢ
PIB = Σ VABᵢ + impuestos netos sobre los productos</t>
  </si>
  <si>
    <t>Interpretación (máximo cinco líneas): ¿por qué sería incorrecto sumar directamente el VBP de las cuatro actividades? ¿Cuál actividad genera la mayor proporción del valor agregado?</t>
  </si>
  <si>
    <t>02  ·  PIB POR EL ENFOQUE DEL GASTO</t>
  </si>
  <si>
    <t>Determine inversión agregada, exportaciones netas, PIB y el efecto de un cambio en el consumo.</t>
  </si>
  <si>
    <t>COMPONENTES DEL GASTO</t>
  </si>
  <si>
    <t>Componente</t>
  </si>
  <si>
    <t>Millones de Q</t>
  </si>
  <si>
    <t>Consumo final de los hogares</t>
  </si>
  <si>
    <t>Gasto de consumo final del gobierno</t>
  </si>
  <si>
    <t>Formación bruta de capital fijo</t>
  </si>
  <si>
    <t>Variación de existencias</t>
  </si>
  <si>
    <t>Exportaciones de bienes y servicios</t>
  </si>
  <si>
    <t>Importaciones de bienes y servicios</t>
  </si>
  <si>
    <t>RESULTADOS</t>
  </si>
  <si>
    <t>Inversión agregada (I)</t>
  </si>
  <si>
    <t>Exportaciones netas (X − M)</t>
  </si>
  <si>
    <t>PIB por el enfoque del gasto</t>
  </si>
  <si>
    <t>Nuevo PIB si C aumenta Q250 millones</t>
  </si>
  <si>
    <t>RECORDATORIO</t>
  </si>
  <si>
    <t>I = FBCF + ΔE       |       PIB = C + I + G + (X − M)</t>
  </si>
  <si>
    <t>Interpretación: explique (a) por qué las importaciones se restan en la identidad del gasto y (b) qué significa económicamente una variación de existencias negativa.</t>
  </si>
  <si>
    <t>03  ·  PIB POR EL ENFOQUE DEL INGRESO</t>
  </si>
  <si>
    <t>Calcule impuestos netos, PIB y la participación de los principales componentes del ingreso.</t>
  </si>
  <si>
    <t>COMPONENTES DEL INGRESO</t>
  </si>
  <si>
    <t>Componente del ingreso</t>
  </si>
  <si>
    <t>Participación en el PIB</t>
  </si>
  <si>
    <t>Remuneración de asalariados</t>
  </si>
  <si>
    <t>Excedente bruto de explotación</t>
  </si>
  <si>
    <t>Ingreso mixto bruto</t>
  </si>
  <si>
    <t>Impuestos sobre la producción y las importaciones</t>
  </si>
  <si>
    <t>Subvenciones</t>
  </si>
  <si>
    <t>Impuestos netos de subvenciones</t>
  </si>
  <si>
    <t>PIB por el enfoque del ingreso</t>
  </si>
  <si>
    <t>PIB = RA + EBE + IMB + impuestos netos
Participación = componente / PIB</t>
  </si>
  <si>
    <t>Interpretación: ¿qué representa el ingreso mixto y por qué puede ser particularmente relevante en economías con una presencia importante de trabajadores por cuenta propia y pequeños negocios familiares?</t>
  </si>
  <si>
    <t>04  ·  UNA ECONOMÍA, TRES ENFOQUES</t>
  </si>
  <si>
    <t>Recupere las variables faltantes y compruebe que producción, gasto e ingreso describen el mismo PIB.</t>
  </si>
  <si>
    <t>PIB CONOCIDO POR PRODUCCIÓN</t>
  </si>
  <si>
    <t>PIB por producción</t>
  </si>
  <si>
    <t>Q 9,000 millones</t>
  </si>
  <si>
    <t>ENFOQUE DEL GASTO</t>
  </si>
  <si>
    <t>ENFOQUE DEL INGRESO</t>
  </si>
  <si>
    <t>Consumo de los hogares</t>
  </si>
  <si>
    <t>Inversión</t>
  </si>
  <si>
    <t>Gasto del gobierno</t>
  </si>
  <si>
    <t>Ingreso mixto</t>
  </si>
  <si>
    <t>Exportaciones</t>
  </si>
  <si>
    <t>Impuestos netos</t>
  </si>
  <si>
    <t>Importaciones</t>
  </si>
  <si>
    <t>VARIABLES A RECUPERAR</t>
  </si>
  <si>
    <t>Importaciones (M)</t>
  </si>
  <si>
    <t>Excedente bruto de explotación (EBE)</t>
  </si>
  <si>
    <t>Verificación de identidad</t>
  </si>
  <si>
    <t>PIB producción = PIB gasto = PIB ingreso</t>
  </si>
  <si>
    <t>Muestre el despeje de las importaciones mediante la identidad del gasto y el despeje del EBE mediante la identidad del ingreso. Luego compruebe numéricamente que los tres enfoques conducen al mismo PIB.</t>
  </si>
  <si>
    <t>IDEA CENTRAL</t>
  </si>
  <si>
    <t>PIB₍producción₎ = PIB₍gasto₎ = PIB₍ingreso₎</t>
  </si>
  <si>
    <t>Explique por qué esta igualdad conceptual no implica que los tres enfoques utilicen exactamente las mismas fuentes estadísticas.</t>
  </si>
  <si>
    <t>Reflexión: si en la práctica las estimaciones de distintas fuentes presentan discrepancias estadísticas, ¿significa necesariamente que alguno de los tres enfoques está conceptualmente equivocado? Fundamente.</t>
  </si>
  <si>
    <t>05  ·  LECTURA DEL PIB DE GUATEMALA POR ACTIVIDAD ECONÓMICA</t>
  </si>
  <si>
    <t>Use información oficial del Banco de Guatemala para describir peso económico y variación reciente.</t>
  </si>
  <si>
    <t>TRAZABILIDAD DE LA INFORMACIÓN</t>
  </si>
  <si>
    <t>Nombre exacto del cuadro</t>
  </si>
  <si>
    <t>PIB total 2024 a precios corrientes</t>
  </si>
  <si>
    <t>Fecha de consulta</t>
  </si>
  <si>
    <t>URL / ruta de consulta</t>
  </si>
  <si>
    <t>https://www.banguat.gob.gt/</t>
  </si>
  <si>
    <t>ACTIVIDADES SELECCIONADAS</t>
  </si>
  <si>
    <t>VAB 2023</t>
  </si>
  <si>
    <t>VAB 2024</t>
  </si>
  <si>
    <t>Variación del valor (%)</t>
  </si>
  <si>
    <t>Participación PIB 2024 (%)</t>
  </si>
  <si>
    <t>Agricultura, ganadería, silvicultura y pesca</t>
  </si>
  <si>
    <t>Comercio y reparación de vehículos</t>
  </si>
  <si>
    <t>FÓRMULAS A UTILIZAR</t>
  </si>
  <si>
    <t>Variaciónᵢ = (VABᵢ,2024 / VABᵢ,2023 − 1) × 100
Participaciónᵢ = (VABᵢ,2024 / PIB₂₀₂₄) × 100
Use valores a precios corrientes para calcular participaciones.</t>
  </si>
  <si>
    <t>LECTURA DE LOS RESULTADOS</t>
  </si>
  <si>
    <t>Actividad con mayor participación dentro del PIB:</t>
  </si>
  <si>
    <t>Actividad con mayor variación entre 2023 y 2024:</t>
  </si>
  <si>
    <t>1. ¿La actividad con mayor participación en el PIB es necesariamente la que presenta la mayor variación? Explique la diferencia entre peso económico y dinamismo.</t>
  </si>
  <si>
    <t>2. Compare dos actividades seleccionadas. ¿Qué diferencias observa en su importancia relativa y comportamiento reciente?</t>
  </si>
  <si>
    <t>3. Si el PIB total aumenta mientras una actividad disminuye, ¿existe contradicción? Además, ¿qué precaución debe tener al interpretar variaciones calculadas con valores corrientes?</t>
  </si>
  <si>
    <t>5. Entregue este archivo.</t>
  </si>
  <si>
    <t>Julio Roberto Higueros Maldonado</t>
  </si>
  <si>
    <t>1,650 - 620 = 1,030</t>
  </si>
  <si>
    <t>2,900 - 1,750 = 1,150</t>
  </si>
  <si>
    <t>1,250 - 720 = 530</t>
  </si>
  <si>
    <t>2,400 - 1,050 = 1,350</t>
  </si>
  <si>
    <t>1,030 / 4,060 * 100</t>
  </si>
  <si>
    <t>1,150 / 4,060 * 100</t>
  </si>
  <si>
    <t>530 / 4,060 * 100</t>
  </si>
  <si>
    <t>1,350 / 4,060 * 100</t>
  </si>
  <si>
    <r>
      <t xml:space="preserve">Desarrolle aquí:
• I = FBCF + ΔE  = 1,700 + (-120) = </t>
    </r>
    <r>
      <rPr>
        <b/>
        <u/>
        <sz val="10"/>
        <color rgb="FF0B2E4F"/>
        <rFont val="Carlito"/>
      </rPr>
      <t>1,580</t>
    </r>
    <r>
      <rPr>
        <sz val="10"/>
        <color rgb="FF0B2E4F"/>
        <rFont val="Carlito"/>
      </rPr>
      <t xml:space="preserve">
• X − M  =  1,250 - 1,640 =  </t>
    </r>
    <r>
      <rPr>
        <b/>
        <u/>
        <sz val="10"/>
        <color rgb="FF0B2E4F"/>
        <rFont val="Carlito"/>
      </rPr>
      <t>-390</t>
    </r>
    <r>
      <rPr>
        <sz val="10"/>
        <color rgb="FF0B2E4F"/>
        <rFont val="Carlito"/>
      </rPr>
      <t xml:space="preserve">
• PIB = C + I + G + (X − M)  = 5,100 + 1,150 + 1,580 + 1,250 - 1,640 =</t>
    </r>
    <r>
      <rPr>
        <b/>
        <sz val="10"/>
        <color rgb="FF0B2E4F"/>
        <rFont val="Carlito"/>
      </rPr>
      <t xml:space="preserve"> </t>
    </r>
    <r>
      <rPr>
        <b/>
        <u/>
        <sz val="10"/>
        <color rgb="FF0B2E4F"/>
        <rFont val="Carlito"/>
      </rPr>
      <t>7,440</t>
    </r>
    <r>
      <rPr>
        <sz val="10"/>
        <color rgb="FF0B2E4F"/>
        <rFont val="Carlito"/>
      </rPr>
      <t xml:space="preserve">
• nuevo PIB cuando el consumo aumenta Q250 millones.   = 5,100 + 250 = 5,350   = 5,350 + 1,150 + 1,580 + 1,250 - 1,640 =</t>
    </r>
    <r>
      <rPr>
        <b/>
        <sz val="10"/>
        <color rgb="FF0B2E4F"/>
        <rFont val="Carlito"/>
      </rPr>
      <t xml:space="preserve"> </t>
    </r>
    <r>
      <rPr>
        <b/>
        <u/>
        <sz val="10"/>
        <color rgb="FF0B2E4F"/>
        <rFont val="Carlito"/>
      </rPr>
      <t>7,690</t>
    </r>
  </si>
  <si>
    <r>
      <t xml:space="preserve">420 - 40 = </t>
    </r>
    <r>
      <rPr>
        <b/>
        <u/>
        <sz val="10"/>
        <color rgb="FF0B2E4F"/>
        <rFont val="Carlito"/>
      </rPr>
      <t>380</t>
    </r>
  </si>
  <si>
    <r>
      <t xml:space="preserve">4,060 + 380 = </t>
    </r>
    <r>
      <rPr>
        <b/>
        <u/>
        <sz val="10"/>
        <color rgb="FF0B2E4F"/>
        <rFont val="Carlito"/>
      </rPr>
      <t>4,440</t>
    </r>
  </si>
  <si>
    <r>
      <t xml:space="preserve">1,030 + 1,150 + 530 + 1,350 = </t>
    </r>
    <r>
      <rPr>
        <b/>
        <u/>
        <sz val="10"/>
        <color rgb="FF0B2E4F"/>
        <rFont val="Carlito"/>
      </rPr>
      <t>4,060</t>
    </r>
  </si>
  <si>
    <t>A</t>
  </si>
  <si>
    <r>
      <t xml:space="preserve">Desarrolle las operaciones para:
• impuestos netos de subvenciones;  = 620 - 110 = </t>
    </r>
    <r>
      <rPr>
        <b/>
        <u/>
        <sz val="10"/>
        <color rgb="FF0B2E4F"/>
        <rFont val="Carlito"/>
      </rPr>
      <t>510</t>
    </r>
    <r>
      <rPr>
        <sz val="10"/>
        <color rgb="FF0B2E4F"/>
        <rFont val="Carlito"/>
      </rPr>
      <t xml:space="preserve">
• PIB por el enfoque del ingreso;  = 4,250 + 2,100 + 960 = </t>
    </r>
    <r>
      <rPr>
        <b/>
        <u/>
        <sz val="10"/>
        <color rgb="FF0B2E4F"/>
        <rFont val="Carlito"/>
      </rPr>
      <t>7,820</t>
    </r>
    <r>
      <rPr>
        <sz val="10"/>
        <color rgb="FF0B2E4F"/>
        <rFont val="Carlito"/>
      </rPr>
      <t xml:space="preserve">
• participación de RA, EBE e ingreso mixto dentro del PIB.  4,250 / 7,820 = </t>
    </r>
    <r>
      <rPr>
        <b/>
        <u/>
        <sz val="10"/>
        <color rgb="FF0B2E4F"/>
        <rFont val="Carlito"/>
      </rPr>
      <t>54.35%</t>
    </r>
    <r>
      <rPr>
        <sz val="10"/>
        <color rgb="FF0B2E4F"/>
        <rFont val="Carlito"/>
      </rPr>
      <t xml:space="preserve">      2,100 / 7,820 = </t>
    </r>
    <r>
      <rPr>
        <b/>
        <u/>
        <sz val="10"/>
        <color rgb="FF0B2E4F"/>
        <rFont val="Carlito"/>
      </rPr>
      <t>28.85%</t>
    </r>
    <r>
      <rPr>
        <sz val="10"/>
        <color rgb="FF0B2E4F"/>
        <rFont val="Carlito"/>
      </rPr>
      <t xml:space="preserve">     960 / 7,820 = </t>
    </r>
    <r>
      <rPr>
        <b/>
        <u/>
        <sz val="10"/>
        <color rgb="FF0B2E4F"/>
        <rFont val="Carlito"/>
      </rPr>
      <t xml:space="preserve">12.28% </t>
    </r>
  </si>
  <si>
    <r>
      <t xml:space="preserve">5,200 + 1,800 + 1,500 + 1,100 = 9,600 - 9,000 = </t>
    </r>
    <r>
      <rPr>
        <b/>
        <u/>
        <sz val="10"/>
        <color rgb="FF0B2E4F"/>
        <rFont val="Carlito"/>
      </rPr>
      <t>600</t>
    </r>
  </si>
  <si>
    <r>
      <t xml:space="preserve">5,200 + 1,800 + 1,500 + 1,100 - 600 = </t>
    </r>
    <r>
      <rPr>
        <b/>
        <u/>
        <sz val="10"/>
        <color rgb="FF0B2E4F"/>
        <rFont val="Carlito"/>
      </rPr>
      <t>9,000</t>
    </r>
  </si>
  <si>
    <r>
      <t xml:space="preserve">4,300 + 1,100 + 500 = 5,900 - 9,000 = </t>
    </r>
    <r>
      <rPr>
        <b/>
        <u/>
        <sz val="10"/>
        <color rgb="FF0B2E4F"/>
        <rFont val="Carlito"/>
      </rPr>
      <t>3,100</t>
    </r>
  </si>
  <si>
    <r>
      <t xml:space="preserve">4,300 + 1,100 + 500 + 3,100 = </t>
    </r>
    <r>
      <rPr>
        <b/>
        <u/>
        <sz val="10"/>
        <color rgb="FF0B2E4F"/>
        <rFont val="Carlito"/>
      </rPr>
      <t>9,000</t>
    </r>
  </si>
  <si>
    <r>
      <t xml:space="preserve">PIB de Producción: </t>
    </r>
    <r>
      <rPr>
        <b/>
        <u/>
        <sz val="10"/>
        <color rgb="FF0B2E4F"/>
        <rFont val="Carlito"/>
      </rPr>
      <t>9,000</t>
    </r>
  </si>
  <si>
    <t>Los tres enfoques del PIB describen la misma economía, pero cada uno la observa desde un lugar diferente y usa datos diferentes. La igualdad del PIB no surge porque las fuentes sean las mismas, sino porque las cuentas nacionales las integran y ajustan para que coincidan.</t>
  </si>
  <si>
    <t>Las discrepancias estadísticas no significan que un enfoque esté mal; significan que la información proviene de fuentes diferentes y requiere ser integrada cuidadosamente para reflejar de manera coherente la actividad económica total.</t>
  </si>
  <si>
    <t>Transporte y almacenamiento</t>
  </si>
  <si>
    <t>Producto Interno Bruto por actividad económica a precios corrientes</t>
  </si>
  <si>
    <t xml:space="preserve">Q 686,000 millones  </t>
  </si>
  <si>
    <t>Importancia relativa</t>
  </si>
  <si>
    <r>
      <rPr>
        <b/>
        <u/>
        <sz val="10"/>
        <rFont val="Carlito"/>
      </rPr>
      <t>Industrias manufactureras</t>
    </r>
    <r>
      <rPr>
        <sz val="10"/>
        <rFont val="Carlito"/>
      </rPr>
      <t xml:space="preserve">
Participación en el PIB 2024: 17.33 %
Es uno de los sectores más grandes de la economía guatemalteca.
Su peso refleja una estructura productiva donde la transformación industrial tiene un rol central en la generación de valor agregado.
</t>
    </r>
    <r>
      <rPr>
        <b/>
        <u/>
        <sz val="10"/>
        <rFont val="Carlito"/>
      </rPr>
      <t>Transporte y almacenamiento</t>
    </r>
    <r>
      <rPr>
        <sz val="10"/>
        <rFont val="Carlito"/>
      </rPr>
      <t xml:space="preserve">
Participación en el PIB 2024: 5.24 %
Es un sector más pequeño en términos de aporte al PIB.
Su importancia está más vinculada a la logística, movilidad de mercancías y soporte a otras actividades productivas</t>
    </r>
  </si>
  <si>
    <r>
      <t xml:space="preserve">No, una actividad puede tener mucho peso económico pero crecer poco, y otra puede tener poco peso pero crecer rápido. Esto ocurre porque peso econocmico y dinanismo miden cosas completamente distintas.
</t>
    </r>
    <r>
      <rPr>
        <b/>
        <sz val="10"/>
        <rFont val="Carlito"/>
      </rPr>
      <t xml:space="preserve">Peso Economico: </t>
    </r>
    <r>
      <rPr>
        <sz val="10"/>
        <rFont val="Carlito"/>
      </rPr>
      <t xml:space="preserve">Mide qué tan grande es un sector dentro de la economía.
</t>
    </r>
    <r>
      <rPr>
        <b/>
        <sz val="10"/>
        <rFont val="Carlito"/>
      </rPr>
      <t>Dinamismo:</t>
    </r>
    <r>
      <rPr>
        <sz val="10"/>
        <rFont val="Carlito"/>
      </rPr>
      <t xml:space="preserve"> Mide qué tan rápido crece o se contrae un sector entre dos años.</t>
    </r>
  </si>
  <si>
    <t>Comportamiento reciente</t>
  </si>
  <si>
    <r>
      <rPr>
        <b/>
        <u/>
        <sz val="10"/>
        <rFont val="Carlito"/>
      </rPr>
      <t>Industrias manufactureras</t>
    </r>
    <r>
      <rPr>
        <sz val="10"/>
        <rFont val="Carlito"/>
      </rPr>
      <t xml:space="preserve">
Variación 2023–2024: 5.75 %
Crecimiento moderado y estable.
Refleja expansión, pero sin ser el sector más dinámico del año.
</t>
    </r>
    <r>
      <rPr>
        <b/>
        <u/>
        <sz val="10"/>
        <rFont val="Carlito"/>
      </rPr>
      <t>Transporte y almacenamiento</t>
    </r>
    <r>
      <rPr>
        <sz val="10"/>
        <rFont val="Carlito"/>
      </rPr>
      <t xml:space="preserve">
Variación 2023–2024: 6.58 %
Es el sector con mayor crecimiento entre los analizados.
Muestra dinamismo asociado a mayor actividad comercial, movilidad y servicios logísticos.</t>
    </r>
  </si>
  <si>
    <t>Aunque Transporte y almacenamiento es más pequeño, creció más rápido que Industrias manufactureras, mostrando mayor dinamismo en el último año.</t>
  </si>
  <si>
    <t>Industrias manufactureras es mucho más grande y representa una parte significativa del PIB, mientras que Transporte y almacenamiento es un sector de menor tamaño relativo.</t>
  </si>
  <si>
    <t>No existe ninguna contradicción. El PIB es la suma del valor agregado de todas las actividades económicas, por lo que puede aumentar aunque una actividad individual disminuya, siempre que otras actividades crezcan más, o el resto de la economía compense la caída de ese sector.
Las variaciones a precios corrientes incluyen el efecto de la inflación. Eso significa que: Un aumento en el VAB no siempre implica más producción real; puede deberse solo a precios más altos, no a mayor cantidad producida y las variaciones pueden sobreestimar el crecimiento real si hubo inflación elevada. Por eso, cuando se quiere analizar crecimiento real, se deben usar: Valores a precios constantes (volumen real) o Tasas de crecimiento reales (descontando inflación)</t>
  </si>
  <si>
    <r>
      <rPr>
        <b/>
        <sz val="10"/>
        <rFont val="Carlito"/>
      </rPr>
      <t>1) ¿por qué sería incorrecto sumar directamente el VBP de las cuatro actividades?</t>
    </r>
    <r>
      <rPr>
        <sz val="10"/>
        <rFont val="Carlito"/>
      </rPr>
      <t xml:space="preserve"> Al sumar el Valor Bruto de Producción (VBP) de todas las actividades sobreestima el tamaño real de la economía, porque incluye doble  conteo de bienes y servicios. Por lo mismo, se se utiliza el Valor Agregado Bruto (VAB) para eliminar el valor de los insumos comprados de otras actividades y deja solo el valor nuevo creado por cada actividad. 
</t>
    </r>
    <r>
      <rPr>
        <b/>
        <sz val="10"/>
        <rFont val="Carlito"/>
      </rPr>
      <t xml:space="preserve">¿Cuál actividad genera la mayor proporción del valor agregado? </t>
    </r>
    <r>
      <rPr>
        <sz val="10"/>
        <rFont val="Carlito"/>
      </rPr>
      <t>Comercio y Otros Servicios es la actividad que más contribuye al valor generado en la economía.</t>
    </r>
  </si>
  <si>
    <r>
      <rPr>
        <b/>
        <sz val="10"/>
        <rFont val="Carlito"/>
      </rPr>
      <t>(a) Por qué las importaciones se restan en la identidad del gasto:</t>
    </r>
    <r>
      <rPr>
        <sz val="10"/>
        <rFont val="Carlito"/>
      </rPr>
      <t xml:space="preserve"> Las importaciones se restan porque reflejan producción extranjera que accidentalmente quedó mezclada dentro del gasto interno. Al restarlas, limpiamos la identidad y dejamos únicamente el valor producido dentro del país.
</t>
    </r>
    <r>
      <rPr>
        <b/>
        <sz val="10"/>
        <rFont val="Carlito"/>
      </rPr>
      <t>(b) Qué significa económicamente una variación de existencias negativa:</t>
    </r>
    <r>
      <rPr>
        <sz val="10"/>
        <rFont val="Carlito"/>
      </rPr>
      <t xml:space="preserve"> significa que las empresas están sacando mercancía de sus bodegas para suplir ventas, lo cual reduce inventarios y resta al PIB porque no representa producción nueva.
</t>
    </r>
  </si>
  <si>
    <r>
      <rPr>
        <b/>
        <sz val="10"/>
        <rFont val="Carlito"/>
      </rPr>
      <t>¿Qué representa el ingreso mixto y por qué puede ser particularmente relevante en economías con una presencia importante de trabajadores por cuenta propia y pequeños negocios familiares?</t>
    </r>
    <r>
      <rPr>
        <sz val="10"/>
        <rFont val="Carlito"/>
      </rPr>
      <t xml:space="preserve"> El ingreso mixto es el dinero que ganan quienes trabajan por su cuenta y manejan pequeños negocios familiares. Es importante porque en economías con mucha informalidad, este grupo representa una parte enorme de la actividad productiva, y su aporte no puede medirse como salario ni como ganancia empresarial pura, sino como una mezcla de ambos.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</si>
</sst>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6" formatCode="[$-F800]dddd\,\ mmmm\ dd\,\ yyyy"/>
  </numFmts>
  <fonts count="26">
    <font>
      <sz val="11"/>
      <name val="Carlito"/>
    </font>
    <font>
      <b/>
      <sz val="23"/>
      <color rgb="FFFFFFFF"/>
      <name val="Carlito"/>
    </font>
    <font>
      <b/>
      <sz val="14"/>
      <color rgb="FFDCE7F0"/>
      <name val="Carlito"/>
    </font>
    <font>
      <b/>
      <sz val="14"/>
      <color rgb="FF164873"/>
      <name val="Carlito"/>
    </font>
    <font>
      <b/>
      <sz val="11"/>
      <color rgb="FFFFFFFF"/>
      <name val="Carlito"/>
    </font>
    <font>
      <b/>
      <sz val="10"/>
      <color rgb="FF0B2E4F"/>
      <name val="Carlito"/>
    </font>
    <font>
      <sz val="10"/>
      <color rgb="FF0B2E4F"/>
      <name val="Carlito"/>
    </font>
    <font>
      <sz val="10"/>
      <color rgb="FF4B5563"/>
      <name val="Carlito"/>
    </font>
    <font>
      <b/>
      <sz val="11"/>
      <color rgb="FF0B2E4F"/>
      <name val="Carlito"/>
    </font>
    <font>
      <b/>
      <sz val="10"/>
      <color rgb="FF164873"/>
      <name val="Carlito"/>
    </font>
    <font>
      <b/>
      <sz val="10"/>
      <color rgb="FF2F6B57"/>
      <name val="Carlito"/>
    </font>
    <font>
      <b/>
      <sz val="19"/>
      <color rgb="FFFFFFFF"/>
      <name val="Carlito"/>
    </font>
    <font>
      <sz val="10"/>
      <color rgb="FFDCE7F0"/>
      <name val="Carlito"/>
    </font>
    <font>
      <b/>
      <sz val="10"/>
      <color rgb="FFFFFFFF"/>
      <name val="Carlito"/>
    </font>
    <font>
      <b/>
      <sz val="12"/>
      <color rgb="FFF97316"/>
      <name val="Carlito"/>
    </font>
    <font>
      <b/>
      <sz val="11"/>
      <color rgb="FF2F6B57"/>
      <name val="Carlito"/>
    </font>
    <font>
      <b/>
      <sz val="13"/>
      <color rgb="FF2F6B57"/>
      <name val="Carlito"/>
    </font>
    <font>
      <b/>
      <sz val="18"/>
      <color rgb="FFF97316"/>
      <name val="Carlito"/>
    </font>
    <font>
      <b/>
      <sz val="11"/>
      <color rgb="FFF97316"/>
      <name val="Carlito"/>
    </font>
    <font>
      <b/>
      <sz val="9"/>
      <name val="Carlito"/>
    </font>
    <font>
      <b/>
      <u/>
      <sz val="10"/>
      <color rgb="FF0B2E4F"/>
      <name val="Carlito"/>
    </font>
    <font>
      <u/>
      <sz val="11"/>
      <color theme="10"/>
      <name val="Carlito"/>
    </font>
    <font>
      <b/>
      <sz val="10"/>
      <name val="Carlito"/>
    </font>
    <font>
      <sz val="10"/>
      <name val="Carlito"/>
    </font>
    <font>
      <b/>
      <u/>
      <sz val="10"/>
      <name val="Carlito"/>
    </font>
    <font>
      <b/>
      <sz val="12"/>
      <name val="Carlito"/>
    </font>
  </fonts>
  <fills count="11">
    <fill>
      <patternFill patternType="none"/>
    </fill>
    <fill>
      <patternFill patternType="gray125"/>
    </fill>
    <fill>
      <patternFill patternType="solid">
        <fgColor rgb="FFFFFFFF"/>
      </patternFill>
    </fill>
    <fill>
      <patternFill patternType="solid">
        <fgColor rgb="FF0B2E4F"/>
      </patternFill>
    </fill>
    <fill>
      <patternFill patternType="solid">
        <fgColor rgb="FFF97316"/>
      </patternFill>
    </fill>
    <fill>
      <patternFill patternType="solid">
        <fgColor rgb="FFEEF4F8"/>
      </patternFill>
    </fill>
    <fill>
      <patternFill patternType="solid">
        <fgColor rgb="FF164873"/>
      </patternFill>
    </fill>
    <fill>
      <patternFill patternType="solid">
        <fgColor rgb="FFF7F8FA"/>
      </patternFill>
    </fill>
    <fill>
      <patternFill patternType="solid">
        <fgColor rgb="FFFFF2E8"/>
      </patternFill>
    </fill>
    <fill>
      <patternFill patternType="solid">
        <fgColor rgb="FFEAF4EF"/>
      </patternFill>
    </fill>
    <fill>
      <patternFill patternType="solid">
        <fgColor rgb="FF2F6B57"/>
      </patternFill>
    </fill>
  </fills>
  <borders count="1">
    <border>
      <left/>
      <right/>
      <top/>
      <bottom/>
      <diagonal/>
    </border>
  </borders>
  <cellStyleXfs count="2">
    <xf numFmtId="0" fontId="0" fillId="0" borderId="0"/>
    <xf numFmtId="0" fontId="21" fillId="0" borderId="0" applyNumberFormat="0" applyFill="0" applyBorder="0" applyAlignment="0" applyProtection="0"/>
  </cellStyleXfs>
  <cellXfs count="58">
    <xf numFmtId="0" fontId="0" fillId="0" borderId="0" xfId="0"/>
    <xf numFmtId="0" fontId="0" fillId="2" borderId="0" xfId="0" applyFill="1"/>
    <xf numFmtId="0" fontId="5" fillId="7" borderId="0" xfId="0" applyFont="1" applyFill="1" applyAlignment="1">
      <alignment vertical="center"/>
    </xf>
    <xf numFmtId="0" fontId="13" fillId="6" borderId="0" xfId="0" applyFont="1" applyFill="1" applyAlignment="1">
      <alignment horizontal="center" vertical="center" wrapText="1"/>
    </xf>
    <xf numFmtId="0" fontId="7" fillId="7" borderId="0" xfId="0" applyFont="1" applyFill="1" applyAlignment="1">
      <alignment vertical="center" wrapText="1"/>
    </xf>
    <xf numFmtId="3" fontId="7" fillId="7" borderId="0" xfId="0" applyNumberFormat="1" applyFont="1" applyFill="1" applyAlignment="1">
      <alignment vertical="center" wrapText="1"/>
    </xf>
    <xf numFmtId="0" fontId="5" fillId="7" borderId="0" xfId="0" applyFont="1" applyFill="1" applyAlignment="1">
      <alignment vertical="center" wrapText="1"/>
    </xf>
    <xf numFmtId="0" fontId="6" fillId="8" borderId="0" xfId="0" applyFont="1" applyFill="1" applyAlignment="1">
      <alignment vertical="top" wrapText="1"/>
    </xf>
    <xf numFmtId="0" fontId="6" fillId="8" borderId="0" xfId="0" applyFont="1" applyFill="1" applyAlignment="1">
      <alignment horizontal="center" vertical="center" wrapText="1"/>
    </xf>
    <xf numFmtId="3" fontId="7" fillId="7" borderId="0" xfId="0" applyNumberFormat="1" applyFont="1" applyFill="1" applyAlignment="1">
      <alignment horizontal="center" vertical="center" wrapText="1"/>
    </xf>
    <xf numFmtId="3" fontId="6" fillId="8" borderId="0" xfId="0" applyNumberFormat="1" applyFont="1" applyFill="1" applyAlignment="1">
      <alignment horizontal="center" vertical="center" wrapText="1"/>
    </xf>
    <xf numFmtId="164" fontId="6" fillId="8" borderId="0" xfId="0" applyNumberFormat="1" applyFont="1" applyFill="1" applyAlignment="1">
      <alignment horizontal="center" vertical="center" wrapText="1"/>
    </xf>
    <xf numFmtId="0" fontId="19" fillId="0" borderId="0" xfId="0" applyFont="1" applyAlignment="1">
      <alignment horizontal="right" vertical="center"/>
    </xf>
    <xf numFmtId="3" fontId="0" fillId="0" borderId="0" xfId="0" applyNumberFormat="1" applyAlignment="1">
      <alignment horizontal="center" vertical="center"/>
    </xf>
    <xf numFmtId="164" fontId="0" fillId="0" borderId="0" xfId="0" applyNumberFormat="1" applyAlignment="1">
      <alignment horizontal="center"/>
    </xf>
    <xf numFmtId="0" fontId="15" fillId="9" borderId="0" xfId="0" applyFont="1" applyFill="1" applyAlignment="1">
      <alignment horizontal="center" vertical="center" wrapText="1"/>
    </xf>
    <xf numFmtId="0" fontId="9" fillId="5" borderId="0" xfId="0" applyFont="1" applyFill="1" applyAlignment="1">
      <alignment vertical="center" wrapText="1"/>
    </xf>
    <xf numFmtId="0" fontId="10" fillId="9" borderId="0" xfId="0" applyFont="1" applyFill="1" applyAlignment="1">
      <alignment vertical="center"/>
    </xf>
    <xf numFmtId="0" fontId="14" fillId="8" borderId="0" xfId="0" applyFont="1" applyFill="1" applyAlignment="1">
      <alignment horizontal="center" vertical="center"/>
    </xf>
    <xf numFmtId="0" fontId="4" fillId="6" borderId="0" xfId="0" applyFont="1" applyFill="1" applyAlignment="1">
      <alignment vertical="center"/>
    </xf>
    <xf numFmtId="0" fontId="6" fillId="8" borderId="0" xfId="0" applyFont="1" applyFill="1" applyAlignment="1">
      <alignment vertical="top" wrapText="1"/>
    </xf>
    <xf numFmtId="0" fontId="4" fillId="10" borderId="0" xfId="0" applyFont="1" applyFill="1" applyAlignment="1">
      <alignment vertical="center"/>
    </xf>
    <xf numFmtId="0" fontId="11" fillId="3" borderId="0" xfId="0" applyFont="1" applyFill="1" applyAlignment="1">
      <alignment vertical="center"/>
    </xf>
    <xf numFmtId="0" fontId="12" fillId="3" borderId="0" xfId="0" applyFont="1" applyFill="1" applyAlignment="1">
      <alignment vertical="center" wrapText="1"/>
    </xf>
    <xf numFmtId="0" fontId="0" fillId="4" borderId="0" xfId="0" applyFill="1"/>
    <xf numFmtId="0" fontId="8" fillId="7" borderId="0" xfId="0" applyFont="1" applyFill="1" applyAlignment="1">
      <alignment horizontal="center" vertical="center" wrapText="1"/>
    </xf>
    <xf numFmtId="0" fontId="8" fillId="8" borderId="0" xfId="0" applyFont="1" applyFill="1" applyAlignment="1">
      <alignment horizontal="center" vertical="center" wrapText="1"/>
    </xf>
    <xf numFmtId="0" fontId="5" fillId="8" borderId="0" xfId="0" applyFont="1" applyFill="1" applyAlignment="1">
      <alignment horizontal="center" vertical="center" wrapText="1"/>
    </xf>
    <xf numFmtId="0" fontId="9" fillId="5" borderId="0" xfId="0" applyFont="1" applyFill="1" applyAlignment="1">
      <alignment horizontal="center" vertical="center" wrapText="1"/>
    </xf>
    <xf numFmtId="0" fontId="10" fillId="9" borderId="0" xfId="0" applyFont="1" applyFill="1" applyAlignment="1">
      <alignment horizontal="center" vertical="center" wrapText="1"/>
    </xf>
    <xf numFmtId="0" fontId="7" fillId="2" borderId="0" xfId="0" applyFont="1" applyFill="1" applyAlignment="1">
      <alignment vertical="center" wrapText="1"/>
    </xf>
    <xf numFmtId="0" fontId="6" fillId="8" borderId="0" xfId="0" applyFont="1" applyFill="1" applyAlignment="1">
      <alignment horizontal="center" vertical="center" wrapText="1"/>
    </xf>
    <xf numFmtId="14" fontId="6" fillId="8" borderId="0" xfId="0" applyNumberFormat="1" applyFont="1" applyFill="1" applyAlignment="1">
      <alignment horizontal="center" vertical="center" wrapText="1"/>
    </xf>
    <xf numFmtId="0" fontId="1" fillId="3" borderId="0" xfId="0" applyFont="1" applyFill="1" applyAlignment="1">
      <alignment vertical="center"/>
    </xf>
    <xf numFmtId="0" fontId="2" fillId="3" borderId="0" xfId="0" applyFont="1" applyFill="1" applyAlignment="1">
      <alignment vertical="center"/>
    </xf>
    <xf numFmtId="0" fontId="3" fillId="5" borderId="0" xfId="0" applyFont="1" applyFill="1" applyAlignment="1">
      <alignment horizontal="center" vertical="center" wrapText="1"/>
    </xf>
    <xf numFmtId="3" fontId="14" fillId="8" borderId="0" xfId="0" applyNumberFormat="1" applyFont="1" applyFill="1" applyAlignment="1">
      <alignment horizontal="center" vertical="center"/>
    </xf>
    <xf numFmtId="0" fontId="16" fillId="9" borderId="0" xfId="0" applyFont="1" applyFill="1" applyAlignment="1">
      <alignment horizontal="center" vertical="center"/>
    </xf>
    <xf numFmtId="0" fontId="17" fillId="8" borderId="0" xfId="0" applyFont="1" applyFill="1" applyAlignment="1">
      <alignment horizontal="center" vertical="center"/>
    </xf>
    <xf numFmtId="0" fontId="18" fillId="8" borderId="0" xfId="0" applyFont="1" applyFill="1" applyAlignment="1">
      <alignment horizontal="center" vertical="center"/>
    </xf>
    <xf numFmtId="38" fontId="7" fillId="7" borderId="0" xfId="0" applyNumberFormat="1" applyFont="1" applyFill="1" applyAlignment="1">
      <alignment horizontal="center" vertical="center" wrapText="1"/>
    </xf>
    <xf numFmtId="38" fontId="14" fillId="8" borderId="0" xfId="0" applyNumberFormat="1" applyFont="1" applyFill="1" applyAlignment="1">
      <alignment horizontal="center" vertical="center"/>
    </xf>
    <xf numFmtId="10" fontId="6" fillId="8" borderId="0" xfId="0" applyNumberFormat="1" applyFont="1" applyFill="1" applyAlignment="1">
      <alignment horizontal="center" vertical="center" wrapText="1"/>
    </xf>
    <xf numFmtId="0" fontId="0" fillId="2" borderId="0" xfId="0" applyFill="1" applyAlignment="1">
      <alignment horizontal="center"/>
    </xf>
    <xf numFmtId="0" fontId="6" fillId="8" borderId="0" xfId="0" applyFont="1" applyFill="1" applyAlignment="1">
      <alignment horizontal="center" vertical="top" wrapText="1"/>
    </xf>
    <xf numFmtId="10" fontId="6" fillId="8" borderId="0" xfId="0" applyNumberFormat="1" applyFont="1" applyFill="1" applyAlignment="1" applyProtection="1">
      <alignment horizontal="center" vertical="center" wrapText="1"/>
      <protection locked="0"/>
    </xf>
    <xf numFmtId="10" fontId="6" fillId="8" borderId="0" xfId="0" applyNumberFormat="1" applyFont="1" applyFill="1" applyAlignment="1" applyProtection="1">
      <alignment horizontal="center" vertical="center" wrapText="1"/>
    </xf>
    <xf numFmtId="10" fontId="18" fillId="8" borderId="0" xfId="0" applyNumberFormat="1" applyFont="1" applyFill="1" applyAlignment="1">
      <alignment horizontal="center" vertical="center"/>
    </xf>
    <xf numFmtId="0" fontId="21" fillId="8" borderId="0" xfId="1" applyFill="1" applyAlignment="1">
      <alignment horizontal="center" vertical="center" wrapText="1"/>
    </xf>
    <xf numFmtId="0" fontId="0" fillId="0" borderId="0" xfId="0" applyFill="1"/>
    <xf numFmtId="0" fontId="23" fillId="2" borderId="0" xfId="0" applyFont="1" applyFill="1" applyAlignment="1">
      <alignment vertical="top" wrapText="1"/>
    </xf>
    <xf numFmtId="0" fontId="25" fillId="0" borderId="0" xfId="0" applyFont="1" applyFill="1" applyAlignment="1">
      <alignment horizontal="center" vertical="center" wrapText="1"/>
    </xf>
    <xf numFmtId="0" fontId="23" fillId="2" borderId="0" xfId="0" applyFont="1" applyFill="1" applyAlignment="1">
      <alignment vertical="center" wrapText="1"/>
    </xf>
    <xf numFmtId="0" fontId="23" fillId="2" borderId="0" xfId="0" applyFont="1" applyFill="1" applyAlignment="1">
      <alignment horizontal="left" vertical="center" wrapText="1"/>
    </xf>
    <xf numFmtId="0" fontId="23" fillId="2" borderId="0" xfId="0" applyFont="1" applyFill="1" applyAlignment="1">
      <alignment horizontal="center" vertical="center" wrapText="1"/>
    </xf>
    <xf numFmtId="0" fontId="23" fillId="8" borderId="0" xfId="0" applyFont="1" applyFill="1" applyAlignment="1">
      <alignment horizontal="center" vertical="center" wrapText="1"/>
    </xf>
    <xf numFmtId="166" fontId="23" fillId="8" borderId="0" xfId="0" applyNumberFormat="1" applyFont="1" applyFill="1" applyAlignment="1">
      <alignment horizontal="center" vertical="center" wrapText="1"/>
    </xf>
    <xf numFmtId="4" fontId="23" fillId="8" borderId="0" xfId="0" applyNumberFormat="1" applyFont="1" applyFill="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autoTitleDeleted val="1"/>
    <c:plotArea>
      <c:layout/>
      <c:barChart>
        <c:barDir val="col"/>
        <c:grouping val="clustered"/>
        <c:varyColors val="0"/>
        <c:ser>
          <c:idx val="0"/>
          <c:order val="0"/>
          <c:tx>
            <c:v>Participación 2024</c:v>
          </c:tx>
          <c:invertIfNegative val="1"/>
          <c:cat>
            <c:strRef>
              <c:f>'E5 Guatemala'!$B$15:$B$19</c:f>
              <c:strCache>
                <c:ptCount val="5"/>
                <c:pt idx="0">
                  <c:v>Agricultura, ganadería, silvicultura y pesca</c:v>
                </c:pt>
                <c:pt idx="1">
                  <c:v>Industrias manufactureras</c:v>
                </c:pt>
                <c:pt idx="2">
                  <c:v>Construcción</c:v>
                </c:pt>
                <c:pt idx="3">
                  <c:v>Comercio y reparación de vehículos</c:v>
                </c:pt>
                <c:pt idx="4">
                  <c:v>Transporte y almacenamiento</c:v>
                </c:pt>
              </c:strCache>
            </c:strRef>
          </c:cat>
          <c:val>
            <c:numRef>
              <c:f>'E5 Guatemala'!$F$15:$F$19</c:f>
              <c:numCache>
                <c:formatCode>0.00%</c:formatCode>
                <c:ptCount val="5"/>
                <c:pt idx="0">
                  <c:v>9.7142857142857142E-2</c:v>
                </c:pt>
                <c:pt idx="1">
                  <c:v>0.17332361516034986</c:v>
                </c:pt>
                <c:pt idx="2">
                  <c:v>6.4446064139941694E-2</c:v>
                </c:pt>
                <c:pt idx="3">
                  <c:v>0.16016034985422742</c:v>
                </c:pt>
                <c:pt idx="4">
                  <c:v>5.2448979591836732E-2</c:v>
                </c:pt>
              </c:numCache>
            </c:numRef>
          </c:val>
          <c:extLst>
            <c:ext xmlns:c16="http://schemas.microsoft.com/office/drawing/2014/chart" uri="{C3380CC4-5D6E-409C-BE32-E72D297353CC}">
              <c16:uniqueId val="{00000000-8940-2748-A4BA-98395B61293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33</xdr:row>
      <xdr:rowOff>0</xdr:rowOff>
    </xdr:from>
    <xdr:to>
      <xdr:col>10</xdr:col>
      <xdr:colOff>0</xdr:colOff>
      <xdr:row>49</xdr:row>
      <xdr:rowOff>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banguat.gob.g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
  <sheetViews>
    <sheetView showGridLines="0" tabSelected="1" zoomScale="125" workbookViewId="0">
      <selection activeCell="B19" sqref="B19:J19"/>
    </sheetView>
  </sheetViews>
  <sheetFormatPr baseColWidth="10" defaultColWidth="8.796875" defaultRowHeight="13.8"/>
  <cols>
    <col min="1" max="1" width="3" customWidth="1"/>
    <col min="2" max="10" width="17" customWidth="1"/>
    <col min="11" max="11" width="3" customWidth="1"/>
  </cols>
  <sheetData>
    <row r="1" spans="1:11">
      <c r="A1" s="1"/>
      <c r="B1" s="1"/>
      <c r="C1" s="1"/>
      <c r="D1" s="1"/>
      <c r="E1" s="1"/>
      <c r="F1" s="1"/>
      <c r="G1" s="1"/>
      <c r="H1" s="1"/>
      <c r="I1" s="1"/>
      <c r="J1" s="1"/>
      <c r="K1" s="1"/>
    </row>
    <row r="2" spans="1:11">
      <c r="A2" s="1"/>
      <c r="B2" s="33" t="s">
        <v>0</v>
      </c>
      <c r="C2" s="33"/>
      <c r="D2" s="33"/>
      <c r="E2" s="33"/>
      <c r="F2" s="33"/>
      <c r="G2" s="33"/>
      <c r="H2" s="33"/>
      <c r="I2" s="33"/>
      <c r="J2" s="33"/>
      <c r="K2" s="1"/>
    </row>
    <row r="3" spans="1:11">
      <c r="A3" s="1"/>
      <c r="B3" s="33"/>
      <c r="C3" s="33"/>
      <c r="D3" s="33"/>
      <c r="E3" s="33"/>
      <c r="F3" s="33"/>
      <c r="G3" s="33"/>
      <c r="H3" s="33"/>
      <c r="I3" s="33"/>
      <c r="J3" s="33"/>
      <c r="K3" s="1"/>
    </row>
    <row r="4" spans="1:11" ht="17.399999999999999">
      <c r="A4" s="1"/>
      <c r="B4" s="34" t="s">
        <v>1</v>
      </c>
      <c r="C4" s="34"/>
      <c r="D4" s="34"/>
      <c r="E4" s="34"/>
      <c r="F4" s="34"/>
      <c r="G4" s="34"/>
      <c r="H4" s="34"/>
      <c r="I4" s="34"/>
      <c r="J4" s="34"/>
      <c r="K4" s="1"/>
    </row>
    <row r="5" spans="1:11" ht="6.75" customHeight="1">
      <c r="A5" s="1"/>
      <c r="B5" s="24"/>
      <c r="C5" s="24"/>
      <c r="D5" s="24"/>
      <c r="E5" s="24"/>
      <c r="F5" s="24"/>
      <c r="G5" s="24"/>
      <c r="H5" s="24"/>
      <c r="I5" s="24"/>
      <c r="J5" s="24"/>
      <c r="K5" s="1"/>
    </row>
    <row r="6" spans="1:11">
      <c r="A6" s="1"/>
      <c r="B6" s="1"/>
      <c r="C6" s="1"/>
      <c r="D6" s="1"/>
      <c r="E6" s="1"/>
      <c r="F6" s="1"/>
      <c r="G6" s="1"/>
      <c r="H6" s="1"/>
      <c r="I6" s="1"/>
      <c r="J6" s="1"/>
      <c r="K6" s="1"/>
    </row>
    <row r="7" spans="1:11">
      <c r="A7" s="1"/>
      <c r="B7" s="1"/>
      <c r="C7" s="1"/>
      <c r="D7" s="1"/>
      <c r="E7" s="1"/>
      <c r="F7" s="1"/>
      <c r="G7" s="1"/>
      <c r="H7" s="1"/>
      <c r="I7" s="1"/>
      <c r="J7" s="1"/>
      <c r="K7" s="1"/>
    </row>
    <row r="8" spans="1:11">
      <c r="A8" s="1"/>
      <c r="B8" s="35" t="s">
        <v>2</v>
      </c>
      <c r="C8" s="35"/>
      <c r="D8" s="35"/>
      <c r="E8" s="35"/>
      <c r="F8" s="35"/>
      <c r="G8" s="35"/>
      <c r="H8" s="35"/>
      <c r="I8" s="35"/>
      <c r="J8" s="35"/>
      <c r="K8" s="1"/>
    </row>
    <row r="9" spans="1:11">
      <c r="A9" s="1"/>
      <c r="B9" s="35"/>
      <c r="C9" s="35"/>
      <c r="D9" s="35"/>
      <c r="E9" s="35"/>
      <c r="F9" s="35"/>
      <c r="G9" s="35"/>
      <c r="H9" s="35"/>
      <c r="I9" s="35"/>
      <c r="J9" s="35"/>
      <c r="K9" s="1"/>
    </row>
    <row r="10" spans="1:11">
      <c r="A10" s="1"/>
      <c r="B10" s="35"/>
      <c r="C10" s="35"/>
      <c r="D10" s="35"/>
      <c r="E10" s="35"/>
      <c r="F10" s="35"/>
      <c r="G10" s="35"/>
      <c r="H10" s="35"/>
      <c r="I10" s="35"/>
      <c r="J10" s="35"/>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19" t="s">
        <v>3</v>
      </c>
      <c r="C13" s="19"/>
      <c r="D13" s="19"/>
      <c r="E13" s="19"/>
      <c r="F13" s="19"/>
      <c r="G13" s="19"/>
      <c r="H13" s="19"/>
      <c r="I13" s="19"/>
      <c r="J13" s="19"/>
      <c r="K13" s="1"/>
    </row>
    <row r="14" spans="1:11">
      <c r="A14" s="1"/>
      <c r="B14" s="2" t="s">
        <v>4</v>
      </c>
      <c r="C14" s="31" t="s">
        <v>127</v>
      </c>
      <c r="D14" s="31"/>
      <c r="E14" s="31"/>
      <c r="F14" s="2" t="s">
        <v>5</v>
      </c>
      <c r="G14" s="31">
        <v>201407000</v>
      </c>
      <c r="H14" s="31"/>
      <c r="I14" s="31"/>
      <c r="J14" s="31"/>
      <c r="K14" s="1"/>
    </row>
    <row r="15" spans="1:11">
      <c r="A15" s="1"/>
      <c r="B15" s="1"/>
      <c r="C15" s="1"/>
      <c r="D15" s="1"/>
      <c r="E15" s="1"/>
      <c r="F15" s="1"/>
      <c r="G15" s="1"/>
      <c r="H15" s="1"/>
      <c r="I15" s="1"/>
      <c r="J15" s="1"/>
      <c r="K15" s="1"/>
    </row>
    <row r="16" spans="1:11">
      <c r="A16" s="1"/>
      <c r="B16" s="2" t="s">
        <v>6</v>
      </c>
      <c r="C16" s="32">
        <v>46263</v>
      </c>
      <c r="D16" s="31"/>
      <c r="E16" s="31"/>
      <c r="F16" s="2" t="s">
        <v>7</v>
      </c>
      <c r="G16" s="31" t="s">
        <v>140</v>
      </c>
      <c r="H16" s="31"/>
      <c r="I16" s="31"/>
      <c r="J16" s="31"/>
      <c r="K16" s="1"/>
    </row>
    <row r="17" spans="1:11">
      <c r="A17" s="1"/>
      <c r="B17" s="1"/>
      <c r="C17" s="1"/>
      <c r="D17" s="1"/>
      <c r="E17" s="1"/>
      <c r="F17" s="1"/>
      <c r="G17" s="1"/>
      <c r="H17" s="1"/>
      <c r="I17" s="1"/>
      <c r="J17" s="1"/>
      <c r="K17" s="1"/>
    </row>
    <row r="18" spans="1:11">
      <c r="A18" s="1"/>
      <c r="B18" s="1"/>
      <c r="C18" s="1"/>
      <c r="D18" s="1"/>
      <c r="E18" s="1"/>
      <c r="F18" s="1"/>
      <c r="G18" s="1"/>
      <c r="H18" s="1"/>
      <c r="I18" s="1"/>
      <c r="J18" s="1"/>
      <c r="K18" s="1"/>
    </row>
    <row r="19" spans="1:11" ht="30.75" customHeight="1">
      <c r="A19" s="1"/>
      <c r="B19" s="19" t="s">
        <v>8</v>
      </c>
      <c r="C19" s="19"/>
      <c r="D19" s="19"/>
      <c r="E19" s="19"/>
      <c r="F19" s="19"/>
      <c r="G19" s="19"/>
      <c r="H19" s="19"/>
      <c r="I19" s="19"/>
      <c r="J19" s="19"/>
      <c r="K19" s="1"/>
    </row>
    <row r="20" spans="1:11" ht="31.95" customHeight="1">
      <c r="A20" s="1"/>
      <c r="B20" s="30" t="s">
        <v>9</v>
      </c>
      <c r="C20" s="30"/>
      <c r="D20" s="30"/>
      <c r="E20" s="30"/>
      <c r="F20" s="30"/>
      <c r="G20" s="30"/>
      <c r="H20" s="30"/>
      <c r="I20" s="30"/>
      <c r="J20" s="30"/>
      <c r="K20" s="1"/>
    </row>
    <row r="21" spans="1:11" ht="31.95" customHeight="1">
      <c r="A21" s="1"/>
      <c r="B21" s="30" t="s">
        <v>10</v>
      </c>
      <c r="C21" s="30"/>
      <c r="D21" s="30"/>
      <c r="E21" s="30"/>
      <c r="F21" s="30"/>
      <c r="G21" s="30"/>
      <c r="H21" s="30"/>
      <c r="I21" s="30"/>
      <c r="J21" s="30"/>
      <c r="K21" s="1"/>
    </row>
    <row r="22" spans="1:11" ht="31.95" customHeight="1">
      <c r="A22" s="1"/>
      <c r="B22" s="30" t="s">
        <v>11</v>
      </c>
      <c r="C22" s="30"/>
      <c r="D22" s="30"/>
      <c r="E22" s="30"/>
      <c r="F22" s="30"/>
      <c r="G22" s="30"/>
      <c r="H22" s="30"/>
      <c r="I22" s="30"/>
      <c r="J22" s="30"/>
      <c r="K22" s="1"/>
    </row>
    <row r="23" spans="1:11" ht="31.95" customHeight="1">
      <c r="A23" s="1"/>
      <c r="B23" s="30" t="s">
        <v>12</v>
      </c>
      <c r="C23" s="30"/>
      <c r="D23" s="30"/>
      <c r="E23" s="30"/>
      <c r="F23" s="30"/>
      <c r="G23" s="30"/>
      <c r="H23" s="30"/>
      <c r="I23" s="30"/>
      <c r="J23" s="30"/>
      <c r="K23" s="1"/>
    </row>
    <row r="24" spans="1:11" ht="31.95" customHeight="1">
      <c r="A24" s="1"/>
      <c r="B24" s="30" t="s">
        <v>126</v>
      </c>
      <c r="C24" s="30"/>
      <c r="D24" s="30"/>
      <c r="E24" s="30"/>
      <c r="F24" s="30"/>
      <c r="G24" s="30"/>
      <c r="H24" s="30"/>
      <c r="I24" s="30"/>
      <c r="J24" s="30"/>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ht="30.75" customHeight="1">
      <c r="A27" s="1"/>
      <c r="B27" s="19" t="s">
        <v>13</v>
      </c>
      <c r="C27" s="19"/>
      <c r="D27" s="19"/>
      <c r="E27" s="19"/>
      <c r="F27" s="19"/>
      <c r="G27" s="19"/>
      <c r="H27" s="19"/>
      <c r="I27" s="19"/>
      <c r="J27" s="19"/>
      <c r="K27" s="1"/>
    </row>
    <row r="28" spans="1:11">
      <c r="A28" s="1"/>
      <c r="B28" s="1"/>
      <c r="C28" s="1"/>
      <c r="D28" s="1"/>
      <c r="E28" s="1"/>
      <c r="F28" s="1"/>
      <c r="G28" s="1"/>
      <c r="H28" s="1"/>
      <c r="I28" s="1"/>
      <c r="J28" s="1"/>
      <c r="K28" s="1"/>
    </row>
    <row r="29" spans="1:11">
      <c r="A29" s="1"/>
      <c r="B29" s="25" t="s">
        <v>14</v>
      </c>
      <c r="C29" s="25"/>
      <c r="D29" s="25"/>
      <c r="E29" s="25" t="s">
        <v>15</v>
      </c>
      <c r="F29" s="25"/>
      <c r="G29" s="25"/>
      <c r="H29" s="25" t="s">
        <v>16</v>
      </c>
      <c r="I29" s="25"/>
      <c r="J29" s="25"/>
      <c r="K29" s="1"/>
    </row>
    <row r="30" spans="1:11">
      <c r="A30" s="1"/>
      <c r="B30" s="25"/>
      <c r="C30" s="25"/>
      <c r="D30" s="25"/>
      <c r="E30" s="25"/>
      <c r="F30" s="25"/>
      <c r="G30" s="25"/>
      <c r="H30" s="25"/>
      <c r="I30" s="25"/>
      <c r="J30" s="25"/>
      <c r="K30" s="1"/>
    </row>
    <row r="31" spans="1:11">
      <c r="A31" s="1"/>
      <c r="B31" s="25"/>
      <c r="C31" s="25"/>
      <c r="D31" s="25"/>
      <c r="E31" s="25"/>
      <c r="F31" s="25"/>
      <c r="G31" s="25"/>
      <c r="H31" s="25"/>
      <c r="I31" s="25"/>
      <c r="J31" s="25"/>
      <c r="K31" s="1"/>
    </row>
    <row r="32" spans="1:11">
      <c r="A32" s="1"/>
      <c r="B32" s="25"/>
      <c r="C32" s="25"/>
      <c r="D32" s="25"/>
      <c r="E32" s="25"/>
      <c r="F32" s="25"/>
      <c r="G32" s="25"/>
      <c r="H32" s="25"/>
      <c r="I32" s="25"/>
      <c r="J32" s="25"/>
      <c r="K32" s="1"/>
    </row>
    <row r="33" spans="1:11">
      <c r="A33" s="1"/>
      <c r="B33" s="1"/>
      <c r="C33" s="1"/>
      <c r="D33" s="1"/>
      <c r="E33" s="1"/>
      <c r="F33" s="1"/>
      <c r="G33" s="1"/>
      <c r="H33" s="1"/>
      <c r="I33" s="1"/>
      <c r="J33" s="1"/>
      <c r="K33" s="1"/>
    </row>
    <row r="34" spans="1:11">
      <c r="A34" s="1"/>
      <c r="B34" s="25" t="s">
        <v>17</v>
      </c>
      <c r="C34" s="25"/>
      <c r="D34" s="25"/>
      <c r="E34" s="25"/>
      <c r="F34" s="26" t="s">
        <v>18</v>
      </c>
      <c r="G34" s="26"/>
      <c r="H34" s="26"/>
      <c r="I34" s="26"/>
      <c r="J34" s="26"/>
      <c r="K34" s="1"/>
    </row>
    <row r="35" spans="1:11">
      <c r="A35" s="1"/>
      <c r="B35" s="25"/>
      <c r="C35" s="25"/>
      <c r="D35" s="25"/>
      <c r="E35" s="25"/>
      <c r="F35" s="26"/>
      <c r="G35" s="26"/>
      <c r="H35" s="26"/>
      <c r="I35" s="26"/>
      <c r="J35" s="26"/>
      <c r="K35" s="1"/>
    </row>
    <row r="36" spans="1:11">
      <c r="A36" s="1"/>
      <c r="B36" s="25"/>
      <c r="C36" s="25"/>
      <c r="D36" s="25"/>
      <c r="E36" s="25"/>
      <c r="F36" s="26"/>
      <c r="G36" s="26"/>
      <c r="H36" s="26"/>
      <c r="I36" s="26"/>
      <c r="J36" s="26"/>
      <c r="K36" s="1"/>
    </row>
    <row r="37" spans="1:11">
      <c r="A37" s="1"/>
      <c r="B37" s="25"/>
      <c r="C37" s="25"/>
      <c r="D37" s="25"/>
      <c r="E37" s="25"/>
      <c r="F37" s="26"/>
      <c r="G37" s="26"/>
      <c r="H37" s="26"/>
      <c r="I37" s="26"/>
      <c r="J37" s="26"/>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ht="30.75" customHeight="1">
      <c r="A40" s="1"/>
      <c r="B40" s="19" t="s">
        <v>19</v>
      </c>
      <c r="C40" s="19"/>
      <c r="D40" s="19"/>
      <c r="E40" s="19"/>
      <c r="F40" s="19"/>
      <c r="G40" s="19"/>
      <c r="H40" s="19"/>
      <c r="I40" s="19"/>
      <c r="J40" s="19"/>
      <c r="K40" s="1"/>
    </row>
    <row r="41" spans="1:11">
      <c r="A41" s="1"/>
      <c r="B41" s="27" t="s">
        <v>20</v>
      </c>
      <c r="C41" s="27"/>
      <c r="D41" s="27"/>
      <c r="E41" s="28" t="s">
        <v>21</v>
      </c>
      <c r="F41" s="28"/>
      <c r="G41" s="28"/>
      <c r="H41" s="29" t="s">
        <v>22</v>
      </c>
      <c r="I41" s="29"/>
      <c r="J41" s="29"/>
      <c r="K41" s="1"/>
    </row>
    <row r="42" spans="1:11">
      <c r="A42" s="1"/>
      <c r="B42" s="27"/>
      <c r="C42" s="27"/>
      <c r="D42" s="27"/>
      <c r="E42" s="28"/>
      <c r="F42" s="28"/>
      <c r="G42" s="28"/>
      <c r="H42" s="29"/>
      <c r="I42" s="29"/>
      <c r="J42" s="29"/>
      <c r="K42" s="1"/>
    </row>
    <row r="43" spans="1:11">
      <c r="A43" s="1"/>
      <c r="B43" s="27"/>
      <c r="C43" s="27"/>
      <c r="D43" s="27"/>
      <c r="E43" s="28"/>
      <c r="F43" s="28"/>
      <c r="G43" s="28"/>
      <c r="H43" s="29"/>
      <c r="I43" s="29"/>
      <c r="J43" s="29"/>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25">
    <mergeCell ref="C14:E14"/>
    <mergeCell ref="G14:J14"/>
    <mergeCell ref="C16:E16"/>
    <mergeCell ref="G16:J16"/>
    <mergeCell ref="B2:J3"/>
    <mergeCell ref="B4:J4"/>
    <mergeCell ref="B5:J5"/>
    <mergeCell ref="B8:J10"/>
    <mergeCell ref="B13:J13"/>
    <mergeCell ref="B19:J19"/>
    <mergeCell ref="B20:J20"/>
    <mergeCell ref="B21:J21"/>
    <mergeCell ref="B22:J22"/>
    <mergeCell ref="B23:J23"/>
    <mergeCell ref="B24:J24"/>
    <mergeCell ref="B27:J27"/>
    <mergeCell ref="B29:D32"/>
    <mergeCell ref="E29:G32"/>
    <mergeCell ref="H29:J32"/>
    <mergeCell ref="B34:E37"/>
    <mergeCell ref="F34:J37"/>
    <mergeCell ref="B40:J40"/>
    <mergeCell ref="B41:D43"/>
    <mergeCell ref="E41:G43"/>
    <mergeCell ref="H41:J4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0"/>
  <sheetViews>
    <sheetView showGridLines="0" zoomScaleNormal="100" workbookViewId="0">
      <selection activeCell="B42" sqref="B42:J46"/>
    </sheetView>
  </sheetViews>
  <sheetFormatPr baseColWidth="10" defaultColWidth="8.796875" defaultRowHeight="13.8"/>
  <cols>
    <col min="1" max="1" width="3" customWidth="1"/>
    <col min="2" max="2" width="29" customWidth="1"/>
    <col min="3" max="3" width="16" customWidth="1"/>
    <col min="4" max="4" width="18" customWidth="1"/>
    <col min="5" max="5" width="17" customWidth="1"/>
    <col min="6" max="6" width="18" customWidth="1"/>
    <col min="7" max="7" width="4" customWidth="1"/>
    <col min="8" max="10" width="22" customWidth="1"/>
    <col min="11" max="11" width="3" customWidth="1"/>
  </cols>
  <sheetData>
    <row r="1" spans="1:11">
      <c r="A1" s="1"/>
      <c r="B1" s="1"/>
      <c r="C1" s="1"/>
      <c r="D1" s="1"/>
      <c r="E1" s="1"/>
      <c r="F1" s="1"/>
      <c r="G1" s="1"/>
      <c r="H1" s="1"/>
      <c r="I1" s="1"/>
      <c r="J1" s="1"/>
      <c r="K1" s="1"/>
    </row>
    <row r="2" spans="1:11" ht="45.3" customHeight="1">
      <c r="A2" s="1"/>
      <c r="B2" s="22" t="s">
        <v>23</v>
      </c>
      <c r="C2" s="22"/>
      <c r="D2" s="22"/>
      <c r="E2" s="22"/>
      <c r="F2" s="22"/>
      <c r="G2" s="22"/>
      <c r="H2" s="22"/>
      <c r="I2" s="22"/>
      <c r="J2" s="22"/>
      <c r="K2" s="1"/>
    </row>
    <row r="3" spans="1:11" ht="30.75" customHeight="1">
      <c r="A3" s="1"/>
      <c r="B3" s="23" t="s">
        <v>24</v>
      </c>
      <c r="C3" s="23"/>
      <c r="D3" s="23"/>
      <c r="E3" s="23"/>
      <c r="F3" s="23"/>
      <c r="G3" s="23"/>
      <c r="H3" s="23"/>
      <c r="I3" s="23"/>
      <c r="J3" s="23"/>
      <c r="K3" s="1"/>
    </row>
    <row r="4" spans="1:11" ht="6.75" customHeight="1">
      <c r="A4" s="1"/>
      <c r="B4" s="24"/>
      <c r="C4" s="24"/>
      <c r="D4" s="24"/>
      <c r="E4" s="24"/>
      <c r="F4" s="24"/>
      <c r="G4" s="24"/>
      <c r="H4" s="24"/>
      <c r="I4" s="24"/>
      <c r="J4" s="24"/>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9" t="s">
        <v>25</v>
      </c>
      <c r="C7" s="19"/>
      <c r="D7" s="19"/>
      <c r="E7" s="19"/>
      <c r="F7" s="19"/>
      <c r="G7" s="1"/>
      <c r="H7" s="1"/>
      <c r="I7" s="1"/>
      <c r="J7" s="1"/>
      <c r="K7" s="1"/>
    </row>
    <row r="8" spans="1:11" ht="37.200000000000003" customHeight="1">
      <c r="A8" s="1"/>
      <c r="B8" s="3" t="s">
        <v>26</v>
      </c>
      <c r="C8" s="3" t="s">
        <v>27</v>
      </c>
      <c r="D8" s="3" t="s">
        <v>28</v>
      </c>
      <c r="E8" s="3" t="s">
        <v>29</v>
      </c>
      <c r="F8" s="3" t="s">
        <v>30</v>
      </c>
      <c r="G8" s="1"/>
      <c r="H8" s="1"/>
      <c r="I8" s="1"/>
      <c r="J8" s="1"/>
      <c r="K8" s="1"/>
    </row>
    <row r="9" spans="1:11">
      <c r="A9" s="1"/>
      <c r="B9" s="4" t="s">
        <v>31</v>
      </c>
      <c r="C9" s="9">
        <v>1650</v>
      </c>
      <c r="D9" s="9">
        <v>620</v>
      </c>
      <c r="E9" s="10">
        <f>C9-D9</f>
        <v>1030</v>
      </c>
      <c r="F9" s="11">
        <f>(E9/E21)</f>
        <v>0.2536945812807882</v>
      </c>
      <c r="G9" s="1"/>
      <c r="H9" s="1"/>
      <c r="I9" s="1"/>
      <c r="J9" s="1"/>
      <c r="K9" s="1"/>
    </row>
    <row r="10" spans="1:11">
      <c r="A10" s="1"/>
      <c r="B10" s="4" t="s">
        <v>32</v>
      </c>
      <c r="C10" s="9">
        <v>2900</v>
      </c>
      <c r="D10" s="9">
        <v>1750</v>
      </c>
      <c r="E10" s="10">
        <f t="shared" ref="E10:E12" si="0">C10-D10</f>
        <v>1150</v>
      </c>
      <c r="F10" s="11">
        <f>(E10/E21)</f>
        <v>0.28325123152709358</v>
      </c>
      <c r="G10" s="1"/>
      <c r="H10" s="1"/>
      <c r="I10" s="1"/>
      <c r="J10" s="1"/>
      <c r="K10" s="1"/>
    </row>
    <row r="11" spans="1:11">
      <c r="A11" s="1"/>
      <c r="B11" s="4" t="s">
        <v>33</v>
      </c>
      <c r="C11" s="9">
        <v>1250</v>
      </c>
      <c r="D11" s="9">
        <v>720</v>
      </c>
      <c r="E11" s="10">
        <f t="shared" si="0"/>
        <v>530</v>
      </c>
      <c r="F11" s="11">
        <f>(E11/E21)</f>
        <v>0.13054187192118227</v>
      </c>
      <c r="G11" s="1"/>
      <c r="H11" s="1"/>
      <c r="I11" s="1"/>
      <c r="J11" s="1"/>
      <c r="K11" s="1"/>
    </row>
    <row r="12" spans="1:11">
      <c r="A12" s="1"/>
      <c r="B12" s="4" t="s">
        <v>34</v>
      </c>
      <c r="C12" s="9">
        <v>2400</v>
      </c>
      <c r="D12" s="9">
        <v>1050</v>
      </c>
      <c r="E12" s="10">
        <f t="shared" si="0"/>
        <v>1350</v>
      </c>
      <c r="F12" s="11">
        <f>(E12/E21)</f>
        <v>0.33251231527093594</v>
      </c>
      <c r="G12" s="1"/>
      <c r="H12" s="1"/>
      <c r="I12" s="1"/>
      <c r="J12" s="1"/>
      <c r="K12" s="1"/>
    </row>
    <row r="13" spans="1:11">
      <c r="A13" s="1"/>
      <c r="B13" s="1"/>
      <c r="C13" s="1"/>
      <c r="D13" s="12"/>
      <c r="E13" s="13"/>
      <c r="F13" s="14"/>
      <c r="G13" s="1"/>
      <c r="H13" s="1"/>
      <c r="I13" s="1"/>
      <c r="J13" s="1"/>
      <c r="K13" s="1"/>
    </row>
    <row r="14" spans="1:11">
      <c r="A14" s="1"/>
      <c r="B14" s="1"/>
      <c r="C14" s="1"/>
      <c r="D14" s="1"/>
      <c r="E14" s="1"/>
      <c r="F14" s="1"/>
      <c r="G14" s="1"/>
      <c r="H14" s="1"/>
      <c r="I14" s="1"/>
      <c r="J14" s="1"/>
      <c r="K14" s="1"/>
    </row>
    <row r="15" spans="1:11" ht="30.75" customHeight="1">
      <c r="A15" s="1"/>
      <c r="B15" s="19" t="s">
        <v>35</v>
      </c>
      <c r="C15" s="19"/>
      <c r="D15" s="19"/>
      <c r="E15" s="19"/>
      <c r="F15" s="19"/>
      <c r="G15" s="1"/>
      <c r="H15" s="1"/>
      <c r="I15" s="1"/>
      <c r="J15" s="1"/>
      <c r="K15" s="1"/>
    </row>
    <row r="16" spans="1:11">
      <c r="A16" s="1"/>
      <c r="B16" s="4" t="s">
        <v>36</v>
      </c>
      <c r="C16" s="5">
        <v>420</v>
      </c>
      <c r="D16" s="1"/>
      <c r="E16" s="1"/>
      <c r="F16" s="1"/>
      <c r="G16" s="1"/>
      <c r="H16" s="1"/>
      <c r="I16" s="1"/>
      <c r="J16" s="1"/>
      <c r="K16" s="1"/>
    </row>
    <row r="17" spans="1:11">
      <c r="A17" s="1"/>
      <c r="B17" s="4" t="s">
        <v>37</v>
      </c>
      <c r="C17" s="5">
        <v>40</v>
      </c>
      <c r="D17" s="1"/>
      <c r="E17" s="1"/>
      <c r="F17" s="1"/>
      <c r="G17" s="1"/>
      <c r="H17" s="1"/>
      <c r="I17" s="1"/>
      <c r="J17" s="1"/>
      <c r="K17" s="1"/>
    </row>
    <row r="18" spans="1:11">
      <c r="A18" s="1"/>
      <c r="B18" s="1"/>
      <c r="C18" s="1"/>
      <c r="D18" s="1"/>
      <c r="E18" s="1"/>
      <c r="F18" s="1"/>
      <c r="G18" s="1"/>
      <c r="H18" s="1"/>
      <c r="I18" s="1"/>
      <c r="J18" s="1"/>
      <c r="K18" s="1"/>
    </row>
    <row r="19" spans="1:11">
      <c r="A19" s="1"/>
      <c r="B19" s="1"/>
      <c r="C19" s="1"/>
      <c r="D19" s="1"/>
      <c r="E19" s="1"/>
      <c r="F19" s="1"/>
      <c r="G19" s="1"/>
      <c r="H19" s="1"/>
      <c r="I19" s="1"/>
      <c r="J19" s="1"/>
      <c r="K19" s="1"/>
    </row>
    <row r="20" spans="1:11" ht="30.75" customHeight="1">
      <c r="A20" s="1"/>
      <c r="B20" s="19" t="s">
        <v>38</v>
      </c>
      <c r="C20" s="19"/>
      <c r="D20" s="19"/>
      <c r="E20" s="19"/>
      <c r="F20" s="19"/>
      <c r="G20" s="19"/>
      <c r="H20" s="1"/>
      <c r="I20" s="1"/>
      <c r="J20" s="1"/>
      <c r="K20" s="1"/>
    </row>
    <row r="21" spans="1:11" ht="33.299999999999997" customHeight="1">
      <c r="A21" s="1"/>
      <c r="B21" s="17" t="s">
        <v>39</v>
      </c>
      <c r="C21" s="17"/>
      <c r="D21" s="17"/>
      <c r="E21" s="36">
        <f>SUM(E9+E10+E11+E12)</f>
        <v>4060</v>
      </c>
      <c r="F21" s="18"/>
      <c r="G21" s="18"/>
      <c r="H21" s="1"/>
      <c r="I21" s="1"/>
      <c r="J21" s="1"/>
      <c r="K21" s="1"/>
    </row>
    <row r="22" spans="1:11">
      <c r="A22" s="1"/>
      <c r="B22" s="1"/>
      <c r="C22" s="1"/>
      <c r="D22" s="1"/>
      <c r="E22" s="1"/>
      <c r="F22" s="1"/>
      <c r="G22" s="1"/>
      <c r="H22" s="1"/>
      <c r="I22" s="1"/>
      <c r="J22" s="1"/>
      <c r="K22" s="1"/>
    </row>
    <row r="23" spans="1:11" ht="33.299999999999997" customHeight="1">
      <c r="A23" s="1"/>
      <c r="B23" s="17" t="s">
        <v>40</v>
      </c>
      <c r="C23" s="17"/>
      <c r="D23" s="17"/>
      <c r="E23" s="36">
        <f>C16-C17</f>
        <v>380</v>
      </c>
      <c r="F23" s="18"/>
      <c r="G23" s="18"/>
      <c r="H23" s="1"/>
      <c r="I23" s="1"/>
      <c r="J23" s="1"/>
      <c r="K23" s="1"/>
    </row>
    <row r="24" spans="1:11">
      <c r="A24" s="1"/>
      <c r="B24" s="1"/>
      <c r="C24" s="1"/>
      <c r="D24" s="1"/>
      <c r="E24" s="1"/>
      <c r="F24" s="1"/>
      <c r="G24" s="1"/>
      <c r="H24" s="1"/>
      <c r="I24" s="1"/>
      <c r="J24" s="1"/>
      <c r="K24" s="1"/>
    </row>
    <row r="25" spans="1:11" ht="33.299999999999997" customHeight="1">
      <c r="A25" s="1"/>
      <c r="B25" s="17" t="s">
        <v>41</v>
      </c>
      <c r="C25" s="17"/>
      <c r="D25" s="17"/>
      <c r="E25" s="36">
        <f>SUM(E21+E23)</f>
        <v>4440</v>
      </c>
      <c r="F25" s="18"/>
      <c r="G25" s="18"/>
      <c r="H25" s="1"/>
      <c r="I25" s="1"/>
      <c r="J25" s="1"/>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19" t="s">
        <v>42</v>
      </c>
      <c r="C28" s="19"/>
      <c r="D28" s="19"/>
      <c r="E28" s="19"/>
      <c r="F28" s="19"/>
      <c r="G28" s="19"/>
      <c r="H28" s="1"/>
      <c r="I28" s="1"/>
      <c r="J28" s="1"/>
      <c r="K28" s="1"/>
    </row>
    <row r="29" spans="1:11">
      <c r="A29" s="1"/>
      <c r="B29" s="8" t="s">
        <v>128</v>
      </c>
      <c r="C29" s="8" t="s">
        <v>132</v>
      </c>
      <c r="D29" s="31" t="s">
        <v>139</v>
      </c>
      <c r="E29" s="31"/>
      <c r="F29" s="7"/>
      <c r="G29" s="7"/>
      <c r="H29" s="1"/>
      <c r="I29" s="1"/>
      <c r="J29" s="1"/>
      <c r="K29" s="1"/>
    </row>
    <row r="30" spans="1:11">
      <c r="A30" s="1"/>
      <c r="B30" s="8" t="s">
        <v>129</v>
      </c>
      <c r="C30" s="8" t="s">
        <v>133</v>
      </c>
      <c r="D30" s="8" t="s">
        <v>137</v>
      </c>
      <c r="E30" s="7" t="s">
        <v>138</v>
      </c>
      <c r="F30" s="7"/>
      <c r="G30" s="7"/>
      <c r="H30" s="1"/>
      <c r="I30" s="1"/>
      <c r="J30" s="1"/>
      <c r="K30" s="1"/>
    </row>
    <row r="31" spans="1:11">
      <c r="A31" s="1"/>
      <c r="B31" s="8" t="s">
        <v>130</v>
      </c>
      <c r="C31" s="8" t="s">
        <v>134</v>
      </c>
      <c r="D31" s="8"/>
      <c r="E31" s="7"/>
      <c r="F31" s="7"/>
      <c r="G31" s="7"/>
      <c r="H31" s="1"/>
      <c r="I31" s="1"/>
      <c r="J31" s="1"/>
      <c r="K31" s="1"/>
    </row>
    <row r="32" spans="1:11">
      <c r="A32" s="1"/>
      <c r="B32" s="8" t="s">
        <v>131</v>
      </c>
      <c r="C32" s="8" t="s">
        <v>135</v>
      </c>
      <c r="D32" s="8"/>
      <c r="E32" s="7"/>
      <c r="F32" s="7"/>
      <c r="G32" s="7"/>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ht="30.75" customHeight="1">
      <c r="A35" s="1"/>
      <c r="B35" s="21" t="s">
        <v>43</v>
      </c>
      <c r="C35" s="21"/>
      <c r="D35" s="21"/>
      <c r="E35" s="21"/>
      <c r="F35" s="21"/>
      <c r="G35" s="21"/>
      <c r="H35" s="21"/>
      <c r="I35" s="21"/>
      <c r="J35" s="21"/>
      <c r="K35" s="1"/>
    </row>
    <row r="36" spans="1:11">
      <c r="A36" s="1"/>
      <c r="B36" s="15" t="s">
        <v>44</v>
      </c>
      <c r="C36" s="15"/>
      <c r="D36" s="15"/>
      <c r="E36" s="15"/>
      <c r="F36" s="15"/>
      <c r="G36" s="15"/>
      <c r="H36" s="15"/>
      <c r="I36" s="15"/>
      <c r="J36" s="15"/>
      <c r="K36" s="1"/>
    </row>
    <row r="37" spans="1:11">
      <c r="A37" s="1"/>
      <c r="B37" s="15"/>
      <c r="C37" s="15"/>
      <c r="D37" s="15"/>
      <c r="E37" s="15"/>
      <c r="F37" s="15"/>
      <c r="G37" s="15"/>
      <c r="H37" s="15"/>
      <c r="I37" s="15"/>
      <c r="J37" s="15"/>
      <c r="K37" s="1"/>
    </row>
    <row r="38" spans="1:11">
      <c r="A38" s="1"/>
      <c r="B38" s="15"/>
      <c r="C38" s="15"/>
      <c r="D38" s="15"/>
      <c r="E38" s="15"/>
      <c r="F38" s="15"/>
      <c r="G38" s="15"/>
      <c r="H38" s="15"/>
      <c r="I38" s="15"/>
      <c r="J38" s="15"/>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ht="41.25" customHeight="1">
      <c r="A41" s="1"/>
      <c r="B41" s="16" t="s">
        <v>45</v>
      </c>
      <c r="C41" s="16"/>
      <c r="D41" s="16"/>
      <c r="E41" s="16"/>
      <c r="F41" s="16"/>
      <c r="G41" s="16"/>
      <c r="H41" s="16"/>
      <c r="I41" s="16"/>
      <c r="J41" s="16"/>
      <c r="K41" s="1"/>
    </row>
    <row r="42" spans="1:11" ht="31.95" customHeight="1">
      <c r="A42" s="1"/>
      <c r="B42" s="50" t="s">
        <v>160</v>
      </c>
      <c r="C42" s="50"/>
      <c r="D42" s="50"/>
      <c r="E42" s="50"/>
      <c r="F42" s="50"/>
      <c r="G42" s="50"/>
      <c r="H42" s="50"/>
      <c r="I42" s="50"/>
      <c r="J42" s="50"/>
      <c r="K42" s="1"/>
    </row>
    <row r="43" spans="1:11" ht="31.95" customHeight="1">
      <c r="A43" s="1"/>
      <c r="B43" s="50"/>
      <c r="C43" s="50"/>
      <c r="D43" s="50"/>
      <c r="E43" s="50"/>
      <c r="F43" s="50"/>
      <c r="G43" s="50"/>
      <c r="H43" s="50"/>
      <c r="I43" s="50"/>
      <c r="J43" s="50"/>
      <c r="K43" s="1"/>
    </row>
    <row r="44" spans="1:11" ht="31.95" customHeight="1">
      <c r="A44" s="1"/>
      <c r="B44" s="50"/>
      <c r="C44" s="50"/>
      <c r="D44" s="50"/>
      <c r="E44" s="50"/>
      <c r="F44" s="50"/>
      <c r="G44" s="50"/>
      <c r="H44" s="50"/>
      <c r="I44" s="50"/>
      <c r="J44" s="50"/>
      <c r="K44" s="1"/>
    </row>
    <row r="45" spans="1:11" ht="31.95" customHeight="1">
      <c r="A45" s="1"/>
      <c r="B45" s="50"/>
      <c r="C45" s="50"/>
      <c r="D45" s="50"/>
      <c r="E45" s="50"/>
      <c r="F45" s="50"/>
      <c r="G45" s="50"/>
      <c r="H45" s="50"/>
      <c r="I45" s="50"/>
      <c r="J45" s="50"/>
      <c r="K45" s="1"/>
    </row>
    <row r="46" spans="1:11" ht="31.95" customHeight="1">
      <c r="A46" s="1"/>
      <c r="B46" s="50"/>
      <c r="C46" s="50"/>
      <c r="D46" s="50"/>
      <c r="E46" s="50"/>
      <c r="F46" s="50"/>
      <c r="G46" s="50"/>
      <c r="H46" s="50"/>
      <c r="I46" s="50"/>
      <c r="J46" s="50"/>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sheetData>
  <mergeCells count="18">
    <mergeCell ref="B2:J2"/>
    <mergeCell ref="B3:J3"/>
    <mergeCell ref="B4:J4"/>
    <mergeCell ref="B7:F7"/>
    <mergeCell ref="B15:F15"/>
    <mergeCell ref="B20:G20"/>
    <mergeCell ref="B21:D21"/>
    <mergeCell ref="E21:G21"/>
    <mergeCell ref="B23:D23"/>
    <mergeCell ref="E23:G23"/>
    <mergeCell ref="B36:J38"/>
    <mergeCell ref="B41:J41"/>
    <mergeCell ref="B42:J46"/>
    <mergeCell ref="B25:D25"/>
    <mergeCell ref="E25:G25"/>
    <mergeCell ref="B28:G28"/>
    <mergeCell ref="B35:J35"/>
    <mergeCell ref="D29:E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2"/>
  <sheetViews>
    <sheetView showGridLines="0" zoomScaleNormal="100" workbookViewId="0">
      <selection activeCell="O44" sqref="O44"/>
    </sheetView>
  </sheetViews>
  <sheetFormatPr baseColWidth="10" defaultColWidth="8.796875" defaultRowHeight="13.8"/>
  <cols>
    <col min="1" max="1" width="3" customWidth="1"/>
    <col min="2" max="2" width="37" customWidth="1"/>
    <col min="3" max="3" width="18" customWidth="1"/>
    <col min="4" max="4" width="4" customWidth="1"/>
    <col min="5" max="7" width="20" customWidth="1"/>
    <col min="8" max="8" width="4" customWidth="1"/>
    <col min="9" max="11" width="3" customWidth="1"/>
  </cols>
  <sheetData>
    <row r="1" spans="1:11">
      <c r="A1" s="1"/>
      <c r="B1" s="1"/>
      <c r="C1" s="1"/>
      <c r="D1" s="1"/>
      <c r="E1" s="1"/>
      <c r="F1" s="1"/>
      <c r="G1" s="1"/>
      <c r="H1" s="1"/>
      <c r="I1" s="1"/>
      <c r="J1" s="1"/>
      <c r="K1" s="1"/>
    </row>
    <row r="2" spans="1:11" ht="45.3" customHeight="1">
      <c r="A2" s="1"/>
      <c r="B2" s="22" t="s">
        <v>46</v>
      </c>
      <c r="C2" s="22"/>
      <c r="D2" s="22"/>
      <c r="E2" s="22"/>
      <c r="F2" s="22"/>
      <c r="G2" s="22"/>
      <c r="H2" s="1"/>
      <c r="I2" s="1"/>
      <c r="J2" s="1"/>
      <c r="K2" s="1"/>
    </row>
    <row r="3" spans="1:11" ht="30.75" customHeight="1">
      <c r="A3" s="1"/>
      <c r="B3" s="23" t="s">
        <v>47</v>
      </c>
      <c r="C3" s="23"/>
      <c r="D3" s="23"/>
      <c r="E3" s="23"/>
      <c r="F3" s="23"/>
      <c r="G3" s="23"/>
      <c r="H3" s="1"/>
      <c r="I3" s="1"/>
      <c r="J3" s="1"/>
      <c r="K3" s="1"/>
    </row>
    <row r="4" spans="1:11" ht="6.75" customHeight="1">
      <c r="A4" s="1"/>
      <c r="B4" s="24"/>
      <c r="C4" s="24"/>
      <c r="D4" s="24"/>
      <c r="E4" s="24"/>
      <c r="F4" s="24"/>
      <c r="G4" s="24"/>
      <c r="H4" s="1"/>
      <c r="I4" s="1"/>
      <c r="J4" s="1"/>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9" t="s">
        <v>48</v>
      </c>
      <c r="C7" s="19"/>
      <c r="D7" s="1"/>
      <c r="E7" s="1"/>
      <c r="F7" s="1"/>
      <c r="G7" s="1"/>
      <c r="H7" s="1"/>
      <c r="I7" s="1"/>
      <c r="J7" s="1"/>
      <c r="K7" s="1"/>
    </row>
    <row r="8" spans="1:11" ht="37.200000000000003" customHeight="1">
      <c r="A8" s="1"/>
      <c r="B8" s="3" t="s">
        <v>49</v>
      </c>
      <c r="C8" s="3" t="s">
        <v>50</v>
      </c>
      <c r="D8" s="1"/>
      <c r="E8" s="1"/>
      <c r="F8" s="1"/>
      <c r="G8" s="1"/>
      <c r="H8" s="1"/>
      <c r="I8" s="1"/>
      <c r="J8" s="1"/>
      <c r="K8" s="1"/>
    </row>
    <row r="9" spans="1:11">
      <c r="A9" s="1"/>
      <c r="B9" s="4" t="s">
        <v>51</v>
      </c>
      <c r="C9" s="40">
        <v>5100</v>
      </c>
      <c r="D9" s="1"/>
      <c r="E9" s="1"/>
      <c r="F9" s="1"/>
      <c r="G9" s="1"/>
      <c r="H9" s="1"/>
      <c r="I9" s="1"/>
      <c r="J9" s="1"/>
      <c r="K9" s="1"/>
    </row>
    <row r="10" spans="1:11">
      <c r="A10" s="1"/>
      <c r="B10" s="4" t="s">
        <v>52</v>
      </c>
      <c r="C10" s="40">
        <v>1150</v>
      </c>
      <c r="D10" s="1"/>
      <c r="E10" s="1"/>
      <c r="F10" s="1"/>
      <c r="G10" s="1"/>
      <c r="H10" s="1"/>
      <c r="I10" s="1"/>
      <c r="J10" s="1"/>
      <c r="K10" s="1"/>
    </row>
    <row r="11" spans="1:11">
      <c r="A11" s="1"/>
      <c r="B11" s="4" t="s">
        <v>53</v>
      </c>
      <c r="C11" s="40">
        <v>1700</v>
      </c>
      <c r="D11" s="1"/>
      <c r="E11" s="1"/>
      <c r="F11" s="1"/>
      <c r="G11" s="1"/>
      <c r="H11" s="1"/>
      <c r="I11" s="1"/>
      <c r="J11" s="1"/>
      <c r="K11" s="1"/>
    </row>
    <row r="12" spans="1:11">
      <c r="A12" s="1"/>
      <c r="B12" s="4" t="s">
        <v>54</v>
      </c>
      <c r="C12" s="40">
        <v>-120</v>
      </c>
      <c r="D12" s="1"/>
      <c r="E12" s="1"/>
      <c r="F12" s="1"/>
      <c r="G12" s="1"/>
      <c r="H12" s="1"/>
      <c r="I12" s="1"/>
      <c r="J12" s="1"/>
      <c r="K12" s="1"/>
    </row>
    <row r="13" spans="1:11">
      <c r="A13" s="1"/>
      <c r="B13" s="4" t="s">
        <v>55</v>
      </c>
      <c r="C13" s="40">
        <v>1250</v>
      </c>
      <c r="D13" s="1"/>
      <c r="E13" s="1"/>
      <c r="F13" s="1"/>
      <c r="G13" s="1"/>
      <c r="H13" s="1"/>
      <c r="I13" s="1"/>
      <c r="J13" s="1"/>
      <c r="K13" s="1"/>
    </row>
    <row r="14" spans="1:11">
      <c r="A14" s="1"/>
      <c r="B14" s="4" t="s">
        <v>56</v>
      </c>
      <c r="C14" s="40">
        <v>1640</v>
      </c>
      <c r="D14" s="1"/>
      <c r="E14" s="1"/>
      <c r="F14" s="1"/>
      <c r="G14" s="1"/>
      <c r="H14" s="1"/>
      <c r="I14" s="1"/>
      <c r="J14" s="1"/>
      <c r="K14" s="1"/>
    </row>
    <row r="15" spans="1:11">
      <c r="A15" s="1"/>
      <c r="B15" s="1"/>
      <c r="C15" s="1"/>
      <c r="D15" s="1"/>
      <c r="E15" s="1"/>
      <c r="F15" s="1"/>
      <c r="G15" s="1"/>
      <c r="H15" s="1"/>
      <c r="I15" s="1"/>
      <c r="J15" s="1"/>
      <c r="K15" s="1"/>
    </row>
    <row r="16" spans="1:11">
      <c r="A16" s="1"/>
      <c r="B16" s="1"/>
      <c r="C16" s="1"/>
      <c r="D16" s="1"/>
      <c r="E16" s="1"/>
      <c r="F16" s="1"/>
      <c r="G16" s="1"/>
      <c r="H16" s="1"/>
      <c r="I16" s="1"/>
      <c r="J16" s="1"/>
      <c r="K16" s="1"/>
    </row>
    <row r="17" spans="1:11" ht="30.75" customHeight="1">
      <c r="A17" s="1"/>
      <c r="B17" s="19" t="s">
        <v>57</v>
      </c>
      <c r="C17" s="19"/>
      <c r="D17" s="19"/>
      <c r="E17" s="19"/>
      <c r="F17" s="19"/>
      <c r="G17" s="19"/>
      <c r="H17" s="1"/>
      <c r="I17" s="1"/>
      <c r="J17" s="1"/>
      <c r="K17" s="1"/>
    </row>
    <row r="18" spans="1:11" ht="33.299999999999997" customHeight="1">
      <c r="A18" s="1"/>
      <c r="B18" s="17" t="s">
        <v>58</v>
      </c>
      <c r="C18" s="17"/>
      <c r="D18" s="17"/>
      <c r="E18" s="41">
        <f>SUM((C11+(C12)))</f>
        <v>1580</v>
      </c>
      <c r="F18" s="18"/>
      <c r="G18" s="18"/>
      <c r="H18" s="1"/>
      <c r="I18" s="1"/>
      <c r="J18" s="1"/>
      <c r="K18" s="1"/>
    </row>
    <row r="19" spans="1:11">
      <c r="A19" s="1"/>
      <c r="B19" s="1"/>
      <c r="C19" s="1"/>
      <c r="D19" s="1"/>
      <c r="E19" s="1"/>
      <c r="F19" s="1"/>
      <c r="G19" s="1"/>
      <c r="H19" s="1"/>
      <c r="I19" s="1"/>
      <c r="J19" s="1"/>
      <c r="K19" s="1"/>
    </row>
    <row r="20" spans="1:11" ht="33.299999999999997" customHeight="1">
      <c r="A20" s="1"/>
      <c r="B20" s="17" t="s">
        <v>59</v>
      </c>
      <c r="C20" s="17"/>
      <c r="D20" s="17"/>
      <c r="E20" s="41">
        <f>SUM(C13-C14)</f>
        <v>-390</v>
      </c>
      <c r="F20" s="18"/>
      <c r="G20" s="18"/>
      <c r="H20" s="1"/>
      <c r="I20" s="1"/>
      <c r="J20" s="1"/>
      <c r="K20" s="1"/>
    </row>
    <row r="21" spans="1:11">
      <c r="A21" s="1"/>
      <c r="B21" s="1"/>
      <c r="C21" s="1"/>
      <c r="D21" s="1"/>
      <c r="E21" s="1"/>
      <c r="F21" s="1"/>
      <c r="G21" s="1"/>
      <c r="H21" s="1"/>
      <c r="I21" s="1"/>
      <c r="J21" s="1"/>
      <c r="K21" s="1"/>
    </row>
    <row r="22" spans="1:11" ht="33.299999999999997" customHeight="1">
      <c r="A22" s="1"/>
      <c r="B22" s="17" t="s">
        <v>60</v>
      </c>
      <c r="C22" s="17"/>
      <c r="D22" s="17"/>
      <c r="E22" s="41">
        <f>SUM(C9+C10+E18+C13-C14)</f>
        <v>7440</v>
      </c>
      <c r="F22" s="18"/>
      <c r="G22" s="18"/>
      <c r="H22" s="1"/>
      <c r="I22" s="1"/>
      <c r="J22" s="1"/>
      <c r="K22" s="1"/>
    </row>
    <row r="23" spans="1:11">
      <c r="A23" s="1"/>
      <c r="B23" s="1"/>
      <c r="C23" s="1"/>
      <c r="D23" s="1"/>
      <c r="E23" s="1"/>
      <c r="F23" s="1"/>
      <c r="G23" s="1"/>
      <c r="H23" s="1"/>
      <c r="I23" s="1"/>
      <c r="J23" s="1"/>
      <c r="K23" s="1"/>
    </row>
    <row r="24" spans="1:11" ht="33.299999999999997" customHeight="1">
      <c r="A24" s="1"/>
      <c r="B24" s="17" t="s">
        <v>61</v>
      </c>
      <c r="C24" s="17"/>
      <c r="D24" s="17"/>
      <c r="E24" s="41">
        <f>SUM(5350+1150+1580+1250-1640)</f>
        <v>7690</v>
      </c>
      <c r="F24" s="18"/>
      <c r="G24" s="18"/>
      <c r="H24" s="1"/>
      <c r="I24" s="1"/>
      <c r="J24" s="1"/>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ht="30.75" customHeight="1">
      <c r="A27" s="1"/>
      <c r="B27" s="19" t="s">
        <v>42</v>
      </c>
      <c r="C27" s="19"/>
      <c r="D27" s="19"/>
      <c r="E27" s="19"/>
      <c r="F27" s="19"/>
      <c r="G27" s="19"/>
      <c r="H27" s="1"/>
      <c r="I27" s="1"/>
      <c r="J27" s="1"/>
      <c r="K27" s="1"/>
    </row>
    <row r="28" spans="1:11">
      <c r="A28" s="1"/>
      <c r="B28" s="20" t="s">
        <v>136</v>
      </c>
      <c r="C28" s="20"/>
      <c r="D28" s="20"/>
      <c r="E28" s="20"/>
      <c r="F28" s="20"/>
      <c r="G28" s="20"/>
      <c r="H28" s="1"/>
      <c r="I28" s="1"/>
      <c r="J28" s="1"/>
      <c r="K28" s="1"/>
    </row>
    <row r="29" spans="1:11">
      <c r="A29" s="1"/>
      <c r="B29" s="20"/>
      <c r="C29" s="20"/>
      <c r="D29" s="20"/>
      <c r="E29" s="20"/>
      <c r="F29" s="20"/>
      <c r="G29" s="20"/>
      <c r="H29" s="1"/>
      <c r="I29" s="1"/>
      <c r="J29" s="1"/>
      <c r="K29" s="1"/>
    </row>
    <row r="30" spans="1:11">
      <c r="A30" s="1"/>
      <c r="B30" s="20"/>
      <c r="C30" s="20"/>
      <c r="D30" s="20"/>
      <c r="E30" s="20"/>
      <c r="F30" s="20"/>
      <c r="G30" s="20"/>
      <c r="H30" s="1"/>
      <c r="I30" s="1"/>
      <c r="J30" s="1"/>
      <c r="K30" s="1"/>
    </row>
    <row r="31" spans="1:11">
      <c r="A31" s="1"/>
      <c r="B31" s="20"/>
      <c r="C31" s="20"/>
      <c r="D31" s="20"/>
      <c r="E31" s="20"/>
      <c r="F31" s="20"/>
      <c r="G31" s="20"/>
      <c r="H31" s="1"/>
      <c r="I31" s="1"/>
      <c r="J31" s="1"/>
      <c r="K31" s="1"/>
    </row>
    <row r="32" spans="1:11">
      <c r="A32" s="1"/>
      <c r="B32" s="20"/>
      <c r="C32" s="20"/>
      <c r="D32" s="20"/>
      <c r="E32" s="20"/>
      <c r="F32" s="20"/>
      <c r="G32" s="20"/>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ht="30.75" customHeight="1">
      <c r="A35" s="1"/>
      <c r="B35" s="21" t="s">
        <v>62</v>
      </c>
      <c r="C35" s="21"/>
      <c r="D35" s="21"/>
      <c r="E35" s="21"/>
      <c r="F35" s="21"/>
      <c r="G35" s="21"/>
      <c r="H35" s="1"/>
      <c r="I35" s="1"/>
      <c r="J35" s="1"/>
      <c r="K35" s="1"/>
    </row>
    <row r="36" spans="1:11">
      <c r="A36" s="1"/>
      <c r="B36" s="15" t="s">
        <v>63</v>
      </c>
      <c r="C36" s="15"/>
      <c r="D36" s="15"/>
      <c r="E36" s="15"/>
      <c r="F36" s="15"/>
      <c r="G36" s="15"/>
      <c r="H36" s="1"/>
      <c r="I36" s="1"/>
      <c r="J36" s="1"/>
      <c r="K36" s="1"/>
    </row>
    <row r="37" spans="1:11">
      <c r="A37" s="1"/>
      <c r="B37" s="15"/>
      <c r="C37" s="15"/>
      <c r="D37" s="15"/>
      <c r="E37" s="15"/>
      <c r="F37" s="15"/>
      <c r="G37" s="15"/>
      <c r="H37" s="1"/>
      <c r="I37" s="1"/>
      <c r="J37" s="1"/>
      <c r="K37" s="1"/>
    </row>
    <row r="38" spans="1:11">
      <c r="A38" s="1"/>
      <c r="B38" s="15"/>
      <c r="C38" s="15"/>
      <c r="D38" s="15"/>
      <c r="E38" s="15"/>
      <c r="F38" s="15"/>
      <c r="G38" s="15"/>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ht="41.25" customHeight="1">
      <c r="A41" s="1"/>
      <c r="B41" s="16" t="s">
        <v>64</v>
      </c>
      <c r="C41" s="16"/>
      <c r="D41" s="16"/>
      <c r="E41" s="16"/>
      <c r="F41" s="16"/>
      <c r="G41" s="16"/>
      <c r="H41" s="1"/>
      <c r="I41" s="1"/>
      <c r="J41" s="1"/>
      <c r="K41" s="1"/>
    </row>
    <row r="42" spans="1:11" ht="31.95" customHeight="1">
      <c r="A42" s="1"/>
      <c r="B42" s="50" t="s">
        <v>161</v>
      </c>
      <c r="C42" s="50"/>
      <c r="D42" s="50"/>
      <c r="E42" s="50"/>
      <c r="F42" s="50"/>
      <c r="G42" s="50"/>
      <c r="H42" s="1"/>
      <c r="I42" s="1"/>
      <c r="J42" s="1"/>
      <c r="K42" s="1"/>
    </row>
    <row r="43" spans="1:11" ht="31.95" customHeight="1">
      <c r="A43" s="1"/>
      <c r="B43" s="50"/>
      <c r="C43" s="50"/>
      <c r="D43" s="50"/>
      <c r="E43" s="50"/>
      <c r="F43" s="50"/>
      <c r="G43" s="50"/>
      <c r="H43" s="1"/>
      <c r="I43" s="1"/>
      <c r="J43" s="1"/>
      <c r="K43" s="1"/>
    </row>
    <row r="44" spans="1:11" ht="31.95" customHeight="1">
      <c r="A44" s="1"/>
      <c r="B44" s="50"/>
      <c r="C44" s="50"/>
      <c r="D44" s="50"/>
      <c r="E44" s="50"/>
      <c r="F44" s="50"/>
      <c r="G44" s="50"/>
      <c r="H44" s="1"/>
      <c r="I44" s="1"/>
      <c r="J44" s="1"/>
      <c r="K44" s="1"/>
    </row>
    <row r="45" spans="1:11" ht="31.95" customHeight="1">
      <c r="A45" s="1"/>
      <c r="B45" s="50"/>
      <c r="C45" s="50"/>
      <c r="D45" s="50"/>
      <c r="E45" s="50"/>
      <c r="F45" s="50"/>
      <c r="G45" s="50"/>
      <c r="H45" s="1"/>
      <c r="I45" s="1"/>
      <c r="J45" s="1"/>
      <c r="K45" s="1"/>
    </row>
    <row r="46" spans="1:11" ht="31.95" customHeight="1">
      <c r="A46" s="1"/>
      <c r="B46" s="50"/>
      <c r="C46" s="50"/>
      <c r="D46" s="50"/>
      <c r="E46" s="50"/>
      <c r="F46" s="50"/>
      <c r="G46" s="50"/>
      <c r="H46" s="1"/>
      <c r="I46" s="1"/>
      <c r="J46" s="1"/>
      <c r="K46" s="1"/>
    </row>
    <row r="47" spans="1:11" ht="31.95" customHeight="1">
      <c r="A47" s="1"/>
      <c r="B47" s="50"/>
      <c r="C47" s="50"/>
      <c r="D47" s="50"/>
      <c r="E47" s="50"/>
      <c r="F47" s="50"/>
      <c r="G47" s="50"/>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19">
    <mergeCell ref="B2:G2"/>
    <mergeCell ref="B3:G3"/>
    <mergeCell ref="B4:G4"/>
    <mergeCell ref="B7:C7"/>
    <mergeCell ref="B17:G17"/>
    <mergeCell ref="B18:D18"/>
    <mergeCell ref="E18:G18"/>
    <mergeCell ref="B20:D20"/>
    <mergeCell ref="E20:G20"/>
    <mergeCell ref="B22:D22"/>
    <mergeCell ref="E22:G22"/>
    <mergeCell ref="B36:G38"/>
    <mergeCell ref="B41:G41"/>
    <mergeCell ref="B42:G47"/>
    <mergeCell ref="B24:D24"/>
    <mergeCell ref="E24:G24"/>
    <mergeCell ref="B27:G27"/>
    <mergeCell ref="B28:G32"/>
    <mergeCell ref="B35:G3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2"/>
  <sheetViews>
    <sheetView showGridLines="0" zoomScaleNormal="100" workbookViewId="0">
      <selection activeCell="F7" sqref="F7"/>
    </sheetView>
  </sheetViews>
  <sheetFormatPr baseColWidth="10" defaultColWidth="8.796875" defaultRowHeight="13.8"/>
  <cols>
    <col min="1" max="1" width="3" customWidth="1"/>
    <col min="2" max="2" width="39" customWidth="1"/>
    <col min="3" max="3" width="18" customWidth="1"/>
    <col min="4" max="4" width="20" customWidth="1"/>
    <col min="5" max="5" width="4" customWidth="1"/>
    <col min="6" max="9" width="22" customWidth="1"/>
    <col min="10" max="11" width="3" customWidth="1"/>
  </cols>
  <sheetData>
    <row r="1" spans="1:11">
      <c r="A1" s="1"/>
      <c r="B1" s="1"/>
      <c r="C1" s="1"/>
      <c r="D1" s="1"/>
      <c r="E1" s="1"/>
      <c r="F1" s="1"/>
      <c r="G1" s="1"/>
      <c r="H1" s="1"/>
      <c r="I1" s="1"/>
      <c r="J1" s="1"/>
      <c r="K1" s="1"/>
    </row>
    <row r="2" spans="1:11" ht="45.3" customHeight="1">
      <c r="A2" s="1"/>
      <c r="B2" s="22" t="s">
        <v>65</v>
      </c>
      <c r="C2" s="22"/>
      <c r="D2" s="22"/>
      <c r="E2" s="22"/>
      <c r="F2" s="22"/>
      <c r="G2" s="22"/>
      <c r="H2" s="22"/>
      <c r="I2" s="22"/>
      <c r="J2" s="1"/>
      <c r="K2" s="1"/>
    </row>
    <row r="3" spans="1:11" ht="30.75" customHeight="1">
      <c r="A3" s="1"/>
      <c r="B3" s="23" t="s">
        <v>66</v>
      </c>
      <c r="C3" s="23"/>
      <c r="D3" s="23"/>
      <c r="E3" s="23"/>
      <c r="F3" s="23"/>
      <c r="G3" s="23"/>
      <c r="H3" s="23"/>
      <c r="I3" s="23"/>
      <c r="J3" s="1"/>
      <c r="K3" s="1"/>
    </row>
    <row r="4" spans="1:11" ht="6.75" customHeight="1">
      <c r="A4" s="1"/>
      <c r="B4" s="24"/>
      <c r="C4" s="24"/>
      <c r="D4" s="24"/>
      <c r="E4" s="24"/>
      <c r="F4" s="24"/>
      <c r="G4" s="24"/>
      <c r="H4" s="24"/>
      <c r="I4" s="24"/>
      <c r="J4" s="1"/>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9" t="s">
        <v>67</v>
      </c>
      <c r="C7" s="19"/>
      <c r="D7" s="19"/>
      <c r="E7" s="1"/>
      <c r="F7" s="1"/>
      <c r="G7" s="1"/>
      <c r="H7" s="1"/>
      <c r="I7" s="1"/>
      <c r="J7" s="1"/>
      <c r="K7" s="1"/>
    </row>
    <row r="8" spans="1:11" ht="37.200000000000003" customHeight="1">
      <c r="A8" s="1"/>
      <c r="B8" s="3" t="s">
        <v>68</v>
      </c>
      <c r="C8" s="3" t="s">
        <v>50</v>
      </c>
      <c r="D8" s="3" t="s">
        <v>69</v>
      </c>
      <c r="E8" s="1"/>
      <c r="F8" s="1"/>
      <c r="G8" s="1"/>
      <c r="H8" s="1"/>
      <c r="I8" s="1"/>
      <c r="J8" s="1"/>
      <c r="K8" s="1"/>
    </row>
    <row r="9" spans="1:11">
      <c r="A9" s="1"/>
      <c r="B9" s="4" t="s">
        <v>70</v>
      </c>
      <c r="C9" s="9">
        <v>4250</v>
      </c>
      <c r="D9" s="42">
        <f>SUM(C9/E19)</f>
        <v>0.54347826086956519</v>
      </c>
      <c r="E9" s="1"/>
      <c r="F9" s="1"/>
      <c r="G9" s="1"/>
      <c r="H9" s="1"/>
      <c r="I9" s="1"/>
      <c r="J9" s="1"/>
      <c r="K9" s="1"/>
    </row>
    <row r="10" spans="1:11">
      <c r="A10" s="1"/>
      <c r="B10" s="4" t="s">
        <v>71</v>
      </c>
      <c r="C10" s="9">
        <v>2100</v>
      </c>
      <c r="D10" s="42">
        <f>C10/E19</f>
        <v>0.26854219948849106</v>
      </c>
      <c r="E10" s="1"/>
      <c r="F10" s="1"/>
      <c r="G10" s="1"/>
      <c r="H10" s="1"/>
      <c r="I10" s="1"/>
      <c r="J10" s="1"/>
      <c r="K10" s="1"/>
    </row>
    <row r="11" spans="1:11">
      <c r="A11" s="1"/>
      <c r="B11" s="4" t="s">
        <v>72</v>
      </c>
      <c r="C11" s="9">
        <v>960</v>
      </c>
      <c r="D11" s="42">
        <f>SUM(C11/E19)</f>
        <v>0.12276214833759591</v>
      </c>
      <c r="E11" s="1"/>
      <c r="F11" s="1"/>
      <c r="G11" s="1"/>
      <c r="H11" s="1"/>
      <c r="I11" s="1"/>
      <c r="J11" s="1"/>
      <c r="K11" s="1"/>
    </row>
    <row r="12" spans="1:11">
      <c r="A12" s="1"/>
      <c r="B12" s="4" t="s">
        <v>73</v>
      </c>
      <c r="C12" s="9">
        <v>620</v>
      </c>
      <c r="D12" s="43"/>
      <c r="E12" s="1"/>
      <c r="F12" s="1"/>
      <c r="G12" s="1"/>
      <c r="H12" s="1"/>
      <c r="I12" s="1"/>
      <c r="J12" s="1"/>
      <c r="K12" s="1"/>
    </row>
    <row r="13" spans="1:11">
      <c r="A13" s="1"/>
      <c r="B13" s="4" t="s">
        <v>74</v>
      </c>
      <c r="C13" s="9">
        <v>110</v>
      </c>
      <c r="D13" s="43"/>
      <c r="E13" s="1"/>
      <c r="F13" s="1"/>
      <c r="G13" s="1"/>
      <c r="H13" s="1"/>
      <c r="I13" s="1"/>
      <c r="J13" s="1"/>
      <c r="K13" s="1"/>
    </row>
    <row r="14" spans="1:11">
      <c r="A14" s="1"/>
      <c r="B14" s="1"/>
      <c r="C14" s="1"/>
      <c r="D14" s="1"/>
      <c r="E14" s="1"/>
      <c r="F14" s="1"/>
      <c r="G14" s="1"/>
      <c r="H14" s="1"/>
      <c r="I14" s="1"/>
      <c r="J14" s="1"/>
      <c r="K14" s="1"/>
    </row>
    <row r="15" spans="1:11">
      <c r="A15" s="1"/>
      <c r="B15" s="1"/>
      <c r="C15" s="1"/>
      <c r="D15" s="1"/>
      <c r="E15" s="1"/>
      <c r="F15" s="1"/>
      <c r="G15" s="1"/>
      <c r="H15" s="1"/>
      <c r="I15" s="1"/>
      <c r="J15" s="1"/>
      <c r="K15" s="1"/>
    </row>
    <row r="16" spans="1:11" ht="30.75" customHeight="1">
      <c r="A16" s="1"/>
      <c r="B16" s="19" t="s">
        <v>57</v>
      </c>
      <c r="C16" s="19"/>
      <c r="D16" s="19"/>
      <c r="E16" s="19"/>
      <c r="F16" s="19"/>
      <c r="G16" s="19"/>
      <c r="H16" s="1"/>
      <c r="I16" s="1"/>
      <c r="J16" s="1"/>
      <c r="K16" s="1"/>
    </row>
    <row r="17" spans="1:11" ht="33.299999999999997" customHeight="1">
      <c r="A17" s="1"/>
      <c r="B17" s="17" t="s">
        <v>75</v>
      </c>
      <c r="C17" s="17"/>
      <c r="D17" s="17"/>
      <c r="E17" s="36">
        <f>SUM(C12-C13)</f>
        <v>510</v>
      </c>
      <c r="F17" s="18"/>
      <c r="G17" s="18"/>
      <c r="H17" s="1"/>
      <c r="I17" s="1"/>
      <c r="J17" s="1"/>
      <c r="K17" s="1"/>
    </row>
    <row r="18" spans="1:11">
      <c r="A18" s="1"/>
      <c r="B18" s="1"/>
      <c r="C18" s="1"/>
      <c r="D18" s="1"/>
      <c r="E18" s="1"/>
      <c r="F18" s="1"/>
      <c r="G18" s="1"/>
      <c r="H18" s="1"/>
      <c r="I18" s="1"/>
      <c r="J18" s="1"/>
      <c r="K18" s="1"/>
    </row>
    <row r="19" spans="1:11" ht="33.299999999999997" customHeight="1">
      <c r="A19" s="1"/>
      <c r="B19" s="17" t="s">
        <v>76</v>
      </c>
      <c r="C19" s="17"/>
      <c r="D19" s="17"/>
      <c r="E19" s="36">
        <f>SUM(C9+C10+C11+E17)</f>
        <v>7820</v>
      </c>
      <c r="F19" s="18"/>
      <c r="G19" s="18"/>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19" t="s">
        <v>42</v>
      </c>
      <c r="C22" s="19"/>
      <c r="D22" s="19"/>
      <c r="E22" s="19"/>
      <c r="F22" s="19"/>
      <c r="G22" s="19"/>
      <c r="H22" s="1"/>
      <c r="I22" s="1"/>
      <c r="J22" s="1"/>
      <c r="K22" s="1"/>
    </row>
    <row r="23" spans="1:11">
      <c r="A23" s="1"/>
      <c r="B23" s="20" t="s">
        <v>141</v>
      </c>
      <c r="C23" s="20"/>
      <c r="D23" s="20"/>
      <c r="E23" s="20"/>
      <c r="F23" s="20"/>
      <c r="G23" s="20"/>
      <c r="H23" s="1"/>
      <c r="I23" s="1"/>
      <c r="J23" s="1"/>
      <c r="K23" s="1"/>
    </row>
    <row r="24" spans="1:11">
      <c r="A24" s="1"/>
      <c r="B24" s="20"/>
      <c r="C24" s="20"/>
      <c r="D24" s="20"/>
      <c r="E24" s="20"/>
      <c r="F24" s="20"/>
      <c r="G24" s="20"/>
      <c r="H24" s="1"/>
      <c r="I24" s="1"/>
      <c r="J24" s="1"/>
      <c r="K24" s="1"/>
    </row>
    <row r="25" spans="1:11">
      <c r="A25" s="1"/>
      <c r="B25" s="20"/>
      <c r="C25" s="20"/>
      <c r="D25" s="20"/>
      <c r="E25" s="20"/>
      <c r="F25" s="20"/>
      <c r="G25" s="20"/>
      <c r="H25" s="1"/>
      <c r="I25" s="1"/>
      <c r="J25" s="1"/>
      <c r="K25" s="1"/>
    </row>
    <row r="26" spans="1:11">
      <c r="A26" s="1"/>
      <c r="B26" s="20"/>
      <c r="C26" s="20"/>
      <c r="D26" s="20"/>
      <c r="E26" s="20"/>
      <c r="F26" s="20"/>
      <c r="G26" s="20"/>
      <c r="H26" s="1"/>
      <c r="I26" s="1"/>
      <c r="J26" s="1"/>
      <c r="K26" s="1"/>
    </row>
    <row r="27" spans="1:11">
      <c r="A27" s="1"/>
      <c r="B27" s="20"/>
      <c r="C27" s="20"/>
      <c r="D27" s="20"/>
      <c r="E27" s="20"/>
      <c r="F27" s="20"/>
      <c r="G27" s="20"/>
      <c r="H27" s="1"/>
      <c r="I27" s="1"/>
      <c r="J27" s="1"/>
      <c r="K27" s="1"/>
    </row>
    <row r="28" spans="1:11">
      <c r="A28" s="1"/>
      <c r="B28" s="1"/>
      <c r="C28" s="1"/>
      <c r="D28" s="1"/>
      <c r="E28" s="1"/>
      <c r="F28" s="1"/>
      <c r="G28" s="1"/>
      <c r="H28" s="1"/>
      <c r="I28" s="1"/>
      <c r="J28" s="1"/>
      <c r="K28" s="1"/>
    </row>
    <row r="29" spans="1:11">
      <c r="A29" s="1"/>
      <c r="B29" s="1"/>
      <c r="C29" s="1"/>
      <c r="D29" s="1"/>
      <c r="E29" s="1"/>
      <c r="F29" s="1"/>
      <c r="G29" s="1"/>
      <c r="H29" s="1"/>
      <c r="I29" s="1"/>
      <c r="J29" s="1"/>
      <c r="K29" s="1"/>
    </row>
    <row r="30" spans="1:11" ht="30.75" customHeight="1">
      <c r="A30" s="1"/>
      <c r="B30" s="21" t="s">
        <v>62</v>
      </c>
      <c r="C30" s="21"/>
      <c r="D30" s="21"/>
      <c r="E30" s="21"/>
      <c r="F30" s="21"/>
      <c r="G30" s="21"/>
      <c r="H30" s="21"/>
      <c r="I30" s="21"/>
      <c r="J30" s="1"/>
      <c r="K30" s="1"/>
    </row>
    <row r="31" spans="1:11">
      <c r="A31" s="1"/>
      <c r="B31" s="15" t="s">
        <v>77</v>
      </c>
      <c r="C31" s="15"/>
      <c r="D31" s="15"/>
      <c r="E31" s="15"/>
      <c r="F31" s="15"/>
      <c r="G31" s="15"/>
      <c r="H31" s="15"/>
      <c r="I31" s="15"/>
      <c r="J31" s="1"/>
      <c r="K31" s="1"/>
    </row>
    <row r="32" spans="1:11">
      <c r="A32" s="1"/>
      <c r="B32" s="15"/>
      <c r="C32" s="15"/>
      <c r="D32" s="15"/>
      <c r="E32" s="15"/>
      <c r="F32" s="15"/>
      <c r="G32" s="15"/>
      <c r="H32" s="15"/>
      <c r="I32" s="15"/>
      <c r="J32" s="1"/>
      <c r="K32" s="1"/>
    </row>
    <row r="33" spans="1:11">
      <c r="A33" s="1"/>
      <c r="B33" s="15"/>
      <c r="C33" s="15"/>
      <c r="D33" s="15"/>
      <c r="E33" s="15"/>
      <c r="F33" s="15"/>
      <c r="G33" s="15"/>
      <c r="H33" s="15"/>
      <c r="I33" s="15"/>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ht="41.25" customHeight="1">
      <c r="A36" s="1"/>
      <c r="B36" s="16" t="s">
        <v>78</v>
      </c>
      <c r="C36" s="16"/>
      <c r="D36" s="16"/>
      <c r="E36" s="16"/>
      <c r="F36" s="16"/>
      <c r="G36" s="16"/>
      <c r="H36" s="16"/>
      <c r="I36" s="16"/>
      <c r="J36" s="1"/>
      <c r="K36" s="1"/>
    </row>
    <row r="37" spans="1:11" ht="31.95" customHeight="1">
      <c r="A37" s="1"/>
      <c r="B37" s="50" t="s">
        <v>162</v>
      </c>
      <c r="C37" s="50"/>
      <c r="D37" s="50"/>
      <c r="E37" s="50"/>
      <c r="F37" s="50"/>
      <c r="G37" s="50"/>
      <c r="H37" s="50"/>
      <c r="I37" s="50"/>
      <c r="J37" s="1"/>
      <c r="K37" s="1"/>
    </row>
    <row r="38" spans="1:11" ht="31.95" customHeight="1">
      <c r="A38" s="1"/>
      <c r="B38" s="50"/>
      <c r="C38" s="50"/>
      <c r="D38" s="50"/>
      <c r="E38" s="50"/>
      <c r="F38" s="50"/>
      <c r="G38" s="50"/>
      <c r="H38" s="50"/>
      <c r="I38" s="50"/>
      <c r="J38" s="1"/>
      <c r="K38" s="1"/>
    </row>
    <row r="39" spans="1:11" ht="31.95" customHeight="1">
      <c r="A39" s="1"/>
      <c r="B39" s="50"/>
      <c r="C39" s="50"/>
      <c r="D39" s="50"/>
      <c r="E39" s="50"/>
      <c r="F39" s="50"/>
      <c r="G39" s="50"/>
      <c r="H39" s="50"/>
      <c r="I39" s="50"/>
      <c r="J39" s="1"/>
      <c r="K39" s="1"/>
    </row>
    <row r="40" spans="1:11" ht="31.95" customHeight="1">
      <c r="A40" s="1"/>
      <c r="B40" s="50"/>
      <c r="C40" s="50"/>
      <c r="D40" s="50"/>
      <c r="E40" s="50"/>
      <c r="F40" s="50"/>
      <c r="G40" s="50"/>
      <c r="H40" s="50"/>
      <c r="I40" s="50"/>
      <c r="J40" s="1"/>
      <c r="K40" s="1"/>
    </row>
    <row r="41" spans="1:11" ht="31.95" customHeight="1">
      <c r="A41" s="1"/>
      <c r="B41" s="50"/>
      <c r="C41" s="50"/>
      <c r="D41" s="50"/>
      <c r="E41" s="50"/>
      <c r="F41" s="50"/>
      <c r="G41" s="50"/>
      <c r="H41" s="50"/>
      <c r="I41" s="50"/>
      <c r="J41" s="1"/>
      <c r="K41" s="1"/>
    </row>
    <row r="42" spans="1:11" ht="31.95" customHeight="1">
      <c r="A42" s="1"/>
      <c r="B42" s="50"/>
      <c r="C42" s="50"/>
      <c r="D42" s="50"/>
      <c r="E42" s="50"/>
      <c r="F42" s="50"/>
      <c r="G42" s="50"/>
      <c r="H42" s="50"/>
      <c r="I42" s="50"/>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sheetData>
  <mergeCells count="15">
    <mergeCell ref="B2:I2"/>
    <mergeCell ref="B3:I3"/>
    <mergeCell ref="B4:I4"/>
    <mergeCell ref="B7:D7"/>
    <mergeCell ref="B16:G16"/>
    <mergeCell ref="B17:D17"/>
    <mergeCell ref="E17:G17"/>
    <mergeCell ref="B19:D19"/>
    <mergeCell ref="E19:G19"/>
    <mergeCell ref="B22:G22"/>
    <mergeCell ref="B23:G27"/>
    <mergeCell ref="B30:I30"/>
    <mergeCell ref="B31:I33"/>
    <mergeCell ref="B36:I36"/>
    <mergeCell ref="B37:I4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8"/>
  <sheetViews>
    <sheetView showGridLines="0" zoomScaleNormal="100" workbookViewId="0">
      <selection activeCell="B51" sqref="B51:J55"/>
    </sheetView>
  </sheetViews>
  <sheetFormatPr baseColWidth="10" defaultColWidth="8.796875" defaultRowHeight="13.8"/>
  <cols>
    <col min="1" max="1" width="3" customWidth="1"/>
    <col min="2" max="2" width="29" customWidth="1"/>
    <col min="3" max="3" width="17" customWidth="1"/>
    <col min="4" max="4" width="4" customWidth="1"/>
    <col min="5" max="5" width="31" customWidth="1"/>
    <col min="6" max="6" width="17" customWidth="1"/>
    <col min="7" max="7" width="4" customWidth="1"/>
    <col min="8" max="10" width="20" customWidth="1"/>
    <col min="11" max="11" width="3" customWidth="1"/>
  </cols>
  <sheetData>
    <row r="1" spans="1:11">
      <c r="A1" s="1"/>
      <c r="B1" s="1"/>
      <c r="C1" s="1"/>
      <c r="D1" s="1"/>
      <c r="E1" s="1"/>
      <c r="F1" s="1"/>
      <c r="G1" s="1"/>
      <c r="H1" s="1"/>
      <c r="I1" s="1"/>
      <c r="J1" s="1"/>
      <c r="K1" s="1"/>
    </row>
    <row r="2" spans="1:11" ht="45.3" customHeight="1">
      <c r="A2" s="1"/>
      <c r="B2" s="22" t="s">
        <v>79</v>
      </c>
      <c r="C2" s="22"/>
      <c r="D2" s="22"/>
      <c r="E2" s="22"/>
      <c r="F2" s="22"/>
      <c r="G2" s="22"/>
      <c r="H2" s="22"/>
      <c r="I2" s="22"/>
      <c r="J2" s="22"/>
      <c r="K2" s="1"/>
    </row>
    <row r="3" spans="1:11" ht="30.75" customHeight="1">
      <c r="A3" s="1"/>
      <c r="B3" s="23" t="s">
        <v>80</v>
      </c>
      <c r="C3" s="23"/>
      <c r="D3" s="23"/>
      <c r="E3" s="23"/>
      <c r="F3" s="23"/>
      <c r="G3" s="23"/>
      <c r="H3" s="23"/>
      <c r="I3" s="23"/>
      <c r="J3" s="23"/>
      <c r="K3" s="1"/>
    </row>
    <row r="4" spans="1:11" ht="6.75" customHeight="1">
      <c r="A4" s="1"/>
      <c r="B4" s="24"/>
      <c r="C4" s="24"/>
      <c r="D4" s="24"/>
      <c r="E4" s="24"/>
      <c r="F4" s="24"/>
      <c r="G4" s="24"/>
      <c r="H4" s="24"/>
      <c r="I4" s="24"/>
      <c r="J4" s="24"/>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9" t="s">
        <v>81</v>
      </c>
      <c r="C7" s="19"/>
      <c r="D7" s="19"/>
      <c r="E7" s="19"/>
      <c r="F7" s="19"/>
      <c r="G7" s="19"/>
      <c r="H7" s="19"/>
      <c r="I7" s="19"/>
      <c r="J7" s="19"/>
      <c r="K7" s="1"/>
    </row>
    <row r="8" spans="1:11">
      <c r="A8" s="1"/>
      <c r="B8" s="37" t="s">
        <v>82</v>
      </c>
      <c r="C8" s="37"/>
      <c r="D8" s="37"/>
      <c r="E8" s="37"/>
      <c r="F8" s="38" t="s">
        <v>83</v>
      </c>
      <c r="G8" s="38"/>
      <c r="H8" s="38"/>
      <c r="I8" s="38"/>
      <c r="J8" s="38"/>
      <c r="K8" s="1"/>
    </row>
    <row r="9" spans="1:11">
      <c r="A9" s="1"/>
      <c r="B9" s="37"/>
      <c r="C9" s="37"/>
      <c r="D9" s="37"/>
      <c r="E9" s="37"/>
      <c r="F9" s="38"/>
      <c r="G9" s="38"/>
      <c r="H9" s="38"/>
      <c r="I9" s="38"/>
      <c r="J9" s="38"/>
      <c r="K9" s="1"/>
    </row>
    <row r="10" spans="1:11">
      <c r="A10" s="1"/>
      <c r="B10" s="37"/>
      <c r="C10" s="37"/>
      <c r="D10" s="37"/>
      <c r="E10" s="37"/>
      <c r="F10" s="38"/>
      <c r="G10" s="38"/>
      <c r="H10" s="38"/>
      <c r="I10" s="38"/>
      <c r="J10" s="38"/>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19" t="s">
        <v>84</v>
      </c>
      <c r="C13" s="19"/>
      <c r="D13" s="1"/>
      <c r="E13" s="19" t="s">
        <v>85</v>
      </c>
      <c r="F13" s="19"/>
      <c r="G13" s="1"/>
      <c r="H13" s="1"/>
      <c r="I13" s="1"/>
      <c r="J13" s="1"/>
      <c r="K13" s="1"/>
    </row>
    <row r="14" spans="1:11" ht="37.200000000000003" customHeight="1">
      <c r="A14" s="1"/>
      <c r="B14" s="3" t="s">
        <v>49</v>
      </c>
      <c r="C14" s="3" t="s">
        <v>50</v>
      </c>
      <c r="D14" s="1"/>
      <c r="E14" s="3" t="s">
        <v>49</v>
      </c>
      <c r="F14" s="3" t="s">
        <v>50</v>
      </c>
      <c r="G14" s="1"/>
      <c r="H14" s="1"/>
      <c r="I14" s="1"/>
      <c r="J14" s="1"/>
      <c r="K14" s="1"/>
    </row>
    <row r="15" spans="1:11">
      <c r="A15" s="1"/>
      <c r="B15" s="4" t="s">
        <v>86</v>
      </c>
      <c r="C15" s="9">
        <v>5200</v>
      </c>
      <c r="D15" s="1"/>
      <c r="E15" s="4" t="s">
        <v>70</v>
      </c>
      <c r="F15" s="9">
        <v>4300</v>
      </c>
      <c r="G15" s="1"/>
      <c r="H15" s="1"/>
      <c r="I15" s="1"/>
      <c r="J15" s="1"/>
      <c r="K15" s="1"/>
    </row>
    <row r="16" spans="1:11">
      <c r="A16" s="1"/>
      <c r="B16" s="4" t="s">
        <v>87</v>
      </c>
      <c r="C16" s="9">
        <v>1800</v>
      </c>
      <c r="D16" s="1"/>
      <c r="E16" s="4" t="s">
        <v>71</v>
      </c>
      <c r="F16" s="10">
        <f>SUM(9000-(F15+F18+F17))</f>
        <v>3100</v>
      </c>
      <c r="G16" s="1"/>
      <c r="H16" s="1"/>
      <c r="I16" s="1"/>
      <c r="J16" s="1"/>
      <c r="K16" s="1"/>
    </row>
    <row r="17" spans="1:11">
      <c r="A17" s="1"/>
      <c r="B17" s="4" t="s">
        <v>88</v>
      </c>
      <c r="C17" s="9">
        <v>1500</v>
      </c>
      <c r="D17" s="1"/>
      <c r="E17" s="4" t="s">
        <v>89</v>
      </c>
      <c r="F17" s="9">
        <v>1100</v>
      </c>
      <c r="G17" s="1"/>
      <c r="H17" s="1"/>
      <c r="I17" s="1"/>
      <c r="J17" s="1"/>
      <c r="K17" s="1"/>
    </row>
    <row r="18" spans="1:11">
      <c r="A18" s="1"/>
      <c r="B18" s="4" t="s">
        <v>90</v>
      </c>
      <c r="C18" s="9">
        <v>1100</v>
      </c>
      <c r="D18" s="1"/>
      <c r="E18" s="4" t="s">
        <v>91</v>
      </c>
      <c r="F18" s="9">
        <v>500</v>
      </c>
      <c r="G18" s="1"/>
      <c r="H18" s="1"/>
      <c r="I18" s="1"/>
      <c r="J18" s="1"/>
      <c r="K18" s="1"/>
    </row>
    <row r="19" spans="1:11">
      <c r="A19" s="1"/>
      <c r="B19" s="4" t="s">
        <v>92</v>
      </c>
      <c r="C19" s="10">
        <f>SUM((C15+C16+C17+C18)-9000)</f>
        <v>600</v>
      </c>
      <c r="D19" s="1"/>
      <c r="E19" s="1"/>
      <c r="F19" s="1"/>
      <c r="G19" s="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19" t="s">
        <v>93</v>
      </c>
      <c r="C22" s="19"/>
      <c r="D22" s="19"/>
      <c r="E22" s="19"/>
      <c r="F22" s="19"/>
      <c r="G22" s="19"/>
      <c r="H22" s="19"/>
      <c r="I22" s="19"/>
      <c r="J22" s="19"/>
      <c r="K22" s="1"/>
    </row>
    <row r="23" spans="1:11">
      <c r="A23" s="1"/>
      <c r="B23" s="17" t="s">
        <v>94</v>
      </c>
      <c r="C23" s="17"/>
      <c r="D23" s="17"/>
      <c r="E23" s="17" t="s">
        <v>95</v>
      </c>
      <c r="F23" s="17"/>
      <c r="G23" s="17"/>
      <c r="H23" s="17" t="s">
        <v>96</v>
      </c>
      <c r="I23" s="17"/>
      <c r="J23" s="17"/>
      <c r="K23" s="1"/>
    </row>
    <row r="24" spans="1:11">
      <c r="A24" s="1"/>
      <c r="B24" s="36">
        <f>SUM((C15+C16+C17+C18)-9000)</f>
        <v>600</v>
      </c>
      <c r="C24" s="18"/>
      <c r="D24" s="18"/>
      <c r="E24" s="36">
        <f>SUM(9000-(F15+F17+F18))</f>
        <v>3100</v>
      </c>
      <c r="F24" s="18"/>
      <c r="G24" s="18"/>
      <c r="H24" s="28" t="s">
        <v>97</v>
      </c>
      <c r="I24" s="28"/>
      <c r="J24" s="28"/>
      <c r="K24" s="1"/>
    </row>
    <row r="25" spans="1:11">
      <c r="A25" s="1"/>
      <c r="B25" s="18"/>
      <c r="C25" s="18"/>
      <c r="D25" s="18"/>
      <c r="E25" s="18"/>
      <c r="F25" s="18"/>
      <c r="G25" s="18"/>
      <c r="H25" s="28"/>
      <c r="I25" s="28"/>
      <c r="J25" s="28"/>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19" t="s">
        <v>42</v>
      </c>
      <c r="C28" s="19"/>
      <c r="D28" s="19"/>
      <c r="E28" s="19"/>
      <c r="F28" s="19"/>
      <c r="G28" s="19"/>
      <c r="H28" s="19"/>
      <c r="I28" s="19"/>
      <c r="J28" s="19"/>
      <c r="K28" s="1"/>
    </row>
    <row r="29" spans="1:11" ht="13.8" customHeight="1">
      <c r="A29" s="1"/>
      <c r="B29" s="44" t="s">
        <v>98</v>
      </c>
      <c r="C29" s="44"/>
      <c r="D29" s="44"/>
      <c r="E29" s="44"/>
      <c r="F29" s="44"/>
      <c r="G29" s="44"/>
      <c r="H29" s="44"/>
      <c r="I29" s="44"/>
      <c r="J29" s="44"/>
      <c r="K29" s="1"/>
    </row>
    <row r="30" spans="1:11" ht="13.8" customHeight="1">
      <c r="A30" s="1"/>
      <c r="B30" s="31" t="s">
        <v>142</v>
      </c>
      <c r="C30" s="31" t="s">
        <v>143</v>
      </c>
      <c r="D30" s="7"/>
      <c r="E30" s="31" t="s">
        <v>144</v>
      </c>
      <c r="F30" s="31" t="s">
        <v>145</v>
      </c>
      <c r="G30" s="31"/>
      <c r="H30" s="31" t="s">
        <v>146</v>
      </c>
      <c r="I30" s="31"/>
      <c r="J30" s="31"/>
      <c r="K30" s="1"/>
    </row>
    <row r="31" spans="1:11">
      <c r="A31" s="1"/>
      <c r="B31" s="31"/>
      <c r="C31" s="31"/>
      <c r="D31" s="7"/>
      <c r="E31" s="31"/>
      <c r="F31" s="31"/>
      <c r="G31" s="31"/>
      <c r="H31" s="31"/>
      <c r="I31" s="31"/>
      <c r="J31" s="31"/>
      <c r="K31" s="1"/>
    </row>
    <row r="32" spans="1:11">
      <c r="A32" s="1"/>
      <c r="B32" s="31"/>
      <c r="C32" s="31"/>
      <c r="D32" s="7"/>
      <c r="E32" s="31"/>
      <c r="F32" s="31"/>
      <c r="G32" s="31"/>
      <c r="H32" s="31"/>
      <c r="I32" s="31"/>
      <c r="J32" s="31"/>
      <c r="K32" s="1"/>
    </row>
    <row r="33" spans="1:11">
      <c r="A33" s="1"/>
      <c r="B33" s="31"/>
      <c r="C33" s="31"/>
      <c r="D33" s="7"/>
      <c r="E33" s="31"/>
      <c r="F33" s="31"/>
      <c r="G33" s="31"/>
      <c r="H33" s="31"/>
      <c r="I33" s="31"/>
      <c r="J33" s="3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ht="30.75" customHeight="1">
      <c r="A36" s="1"/>
      <c r="B36" s="21" t="s">
        <v>99</v>
      </c>
      <c r="C36" s="21"/>
      <c r="D36" s="21"/>
      <c r="E36" s="21"/>
      <c r="F36" s="21"/>
      <c r="G36" s="21"/>
      <c r="H36" s="21"/>
      <c r="I36" s="21"/>
      <c r="J36" s="21"/>
      <c r="K36" s="1"/>
    </row>
    <row r="37" spans="1:11">
      <c r="A37" s="1"/>
      <c r="B37" s="15" t="s">
        <v>100</v>
      </c>
      <c r="C37" s="15"/>
      <c r="D37" s="15"/>
      <c r="E37" s="15"/>
      <c r="F37" s="15"/>
      <c r="G37" s="15"/>
      <c r="H37" s="15"/>
      <c r="I37" s="15"/>
      <c r="J37" s="15"/>
      <c r="K37" s="1"/>
    </row>
    <row r="38" spans="1:11">
      <c r="A38" s="1"/>
      <c r="B38" s="15"/>
      <c r="C38" s="15"/>
      <c r="D38" s="15"/>
      <c r="E38" s="15"/>
      <c r="F38" s="15"/>
      <c r="G38" s="15"/>
      <c r="H38" s="15"/>
      <c r="I38" s="15"/>
      <c r="J38" s="15"/>
      <c r="K38" s="1"/>
    </row>
    <row r="39" spans="1:11">
      <c r="A39" s="1"/>
      <c r="B39" s="15"/>
      <c r="C39" s="15"/>
      <c r="D39" s="15"/>
      <c r="E39" s="15"/>
      <c r="F39" s="15"/>
      <c r="G39" s="15"/>
      <c r="H39" s="15"/>
      <c r="I39" s="15"/>
      <c r="J39" s="15"/>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ht="41.25" customHeight="1">
      <c r="A42" s="1"/>
      <c r="B42" s="16" t="s">
        <v>101</v>
      </c>
      <c r="C42" s="16"/>
      <c r="D42" s="16"/>
      <c r="E42" s="16"/>
      <c r="F42" s="16"/>
      <c r="G42" s="16"/>
      <c r="H42" s="16"/>
      <c r="I42" s="16"/>
      <c r="J42" s="16"/>
      <c r="K42" s="1"/>
    </row>
    <row r="43" spans="1:11" ht="31.95" customHeight="1">
      <c r="A43" s="1"/>
      <c r="B43" s="50" t="s">
        <v>147</v>
      </c>
      <c r="C43" s="50"/>
      <c r="D43" s="50"/>
      <c r="E43" s="50"/>
      <c r="F43" s="50"/>
      <c r="G43" s="50"/>
      <c r="H43" s="50"/>
      <c r="I43" s="50"/>
      <c r="J43" s="50"/>
      <c r="K43" s="1"/>
    </row>
    <row r="44" spans="1:11" ht="31.95" customHeight="1">
      <c r="A44" s="1"/>
      <c r="B44" s="50"/>
      <c r="C44" s="50"/>
      <c r="D44" s="50"/>
      <c r="E44" s="50"/>
      <c r="F44" s="50"/>
      <c r="G44" s="50"/>
      <c r="H44" s="50"/>
      <c r="I44" s="50"/>
      <c r="J44" s="50"/>
      <c r="K44" s="1"/>
    </row>
    <row r="45" spans="1:11" ht="31.95" customHeight="1">
      <c r="A45" s="1"/>
      <c r="B45" s="50"/>
      <c r="C45" s="50"/>
      <c r="D45" s="50"/>
      <c r="E45" s="50"/>
      <c r="F45" s="50"/>
      <c r="G45" s="50"/>
      <c r="H45" s="50"/>
      <c r="I45" s="50"/>
      <c r="J45" s="50"/>
      <c r="K45" s="1"/>
    </row>
    <row r="46" spans="1:11" ht="31.95" customHeight="1">
      <c r="A46" s="1"/>
      <c r="B46" s="50"/>
      <c r="C46" s="50"/>
      <c r="D46" s="50"/>
      <c r="E46" s="50"/>
      <c r="F46" s="50"/>
      <c r="G46" s="50"/>
      <c r="H46" s="50"/>
      <c r="I46" s="50"/>
      <c r="J46" s="50"/>
      <c r="K46" s="1"/>
    </row>
    <row r="47" spans="1:11" ht="31.95" customHeight="1">
      <c r="A47" s="1"/>
      <c r="B47" s="50"/>
      <c r="C47" s="50"/>
      <c r="D47" s="50"/>
      <c r="E47" s="50"/>
      <c r="F47" s="50"/>
      <c r="G47" s="50"/>
      <c r="H47" s="50"/>
      <c r="I47" s="50"/>
      <c r="J47" s="50"/>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ht="41.25" customHeight="1">
      <c r="A50" s="1"/>
      <c r="B50" s="16" t="s">
        <v>102</v>
      </c>
      <c r="C50" s="16"/>
      <c r="D50" s="16"/>
      <c r="E50" s="16"/>
      <c r="F50" s="16"/>
      <c r="G50" s="16"/>
      <c r="H50" s="16"/>
      <c r="I50" s="16"/>
      <c r="J50" s="16"/>
      <c r="K50" s="1"/>
    </row>
    <row r="51" spans="1:11" ht="31.95" customHeight="1">
      <c r="A51" s="1"/>
      <c r="B51" s="50" t="s">
        <v>148</v>
      </c>
      <c r="C51" s="50"/>
      <c r="D51" s="50"/>
      <c r="E51" s="50"/>
      <c r="F51" s="50"/>
      <c r="G51" s="50"/>
      <c r="H51" s="50"/>
      <c r="I51" s="50"/>
      <c r="J51" s="50"/>
      <c r="K51" s="1"/>
    </row>
    <row r="52" spans="1:11" ht="31.95" customHeight="1">
      <c r="A52" s="1"/>
      <c r="B52" s="50"/>
      <c r="C52" s="50"/>
      <c r="D52" s="50"/>
      <c r="E52" s="50"/>
      <c r="F52" s="50"/>
      <c r="G52" s="50"/>
      <c r="H52" s="50"/>
      <c r="I52" s="50"/>
      <c r="J52" s="50"/>
      <c r="K52" s="1"/>
    </row>
    <row r="53" spans="1:11" ht="31.95" customHeight="1">
      <c r="A53" s="1"/>
      <c r="B53" s="50"/>
      <c r="C53" s="50"/>
      <c r="D53" s="50"/>
      <c r="E53" s="50"/>
      <c r="F53" s="50"/>
      <c r="G53" s="50"/>
      <c r="H53" s="50"/>
      <c r="I53" s="50"/>
      <c r="J53" s="50"/>
      <c r="K53" s="1"/>
    </row>
    <row r="54" spans="1:11" ht="31.95" customHeight="1">
      <c r="A54" s="1"/>
      <c r="B54" s="50"/>
      <c r="C54" s="50"/>
      <c r="D54" s="50"/>
      <c r="E54" s="50"/>
      <c r="F54" s="50"/>
      <c r="G54" s="50"/>
      <c r="H54" s="50"/>
      <c r="I54" s="50"/>
      <c r="J54" s="50"/>
      <c r="K54" s="1"/>
    </row>
    <row r="55" spans="1:11" ht="31.95" customHeight="1">
      <c r="A55" s="1"/>
      <c r="B55" s="50"/>
      <c r="C55" s="50"/>
      <c r="D55" s="50"/>
      <c r="E55" s="50"/>
      <c r="F55" s="50"/>
      <c r="G55" s="50"/>
      <c r="H55" s="50"/>
      <c r="I55" s="50"/>
      <c r="J55" s="50"/>
      <c r="K55" s="1"/>
    </row>
    <row r="56" spans="1:11">
      <c r="A56" s="1"/>
      <c r="B56" s="1"/>
      <c r="C56" s="1"/>
      <c r="D56" s="1"/>
      <c r="E56" s="1"/>
      <c r="F56" s="1"/>
      <c r="G56" s="1"/>
      <c r="H56" s="1"/>
      <c r="I56" s="1"/>
      <c r="J56" s="1"/>
      <c r="K56" s="1"/>
    </row>
    <row r="57" spans="1:11">
      <c r="A57" s="1"/>
      <c r="B57" s="1"/>
      <c r="C57" s="1"/>
      <c r="D57" s="1"/>
      <c r="E57" s="1"/>
      <c r="F57" s="1"/>
      <c r="G57" s="1"/>
      <c r="H57" s="1"/>
      <c r="I57" s="1"/>
      <c r="J57" s="1"/>
      <c r="K57" s="1"/>
    </row>
    <row r="58" spans="1:11">
      <c r="A58" s="1"/>
      <c r="B58" s="1"/>
      <c r="C58" s="1"/>
      <c r="D58" s="1"/>
      <c r="E58" s="1"/>
      <c r="F58" s="1"/>
      <c r="G58" s="1"/>
      <c r="H58" s="1"/>
      <c r="I58" s="1"/>
      <c r="J58" s="1"/>
      <c r="K58" s="1"/>
    </row>
  </sheetData>
  <mergeCells count="28">
    <mergeCell ref="B2:J2"/>
    <mergeCell ref="B3:J3"/>
    <mergeCell ref="B4:J4"/>
    <mergeCell ref="B7:J7"/>
    <mergeCell ref="B8:E10"/>
    <mergeCell ref="F8:J10"/>
    <mergeCell ref="B13:C13"/>
    <mergeCell ref="E13:F13"/>
    <mergeCell ref="B22:J22"/>
    <mergeCell ref="B23:D23"/>
    <mergeCell ref="E23:G23"/>
    <mergeCell ref="H23:J23"/>
    <mergeCell ref="B24:D25"/>
    <mergeCell ref="E24:G25"/>
    <mergeCell ref="H24:J25"/>
    <mergeCell ref="B28:J28"/>
    <mergeCell ref="B29:J29"/>
    <mergeCell ref="B30:B33"/>
    <mergeCell ref="C30:C33"/>
    <mergeCell ref="E30:E33"/>
    <mergeCell ref="F30:G33"/>
    <mergeCell ref="H30:J33"/>
    <mergeCell ref="B51:J55"/>
    <mergeCell ref="B36:J36"/>
    <mergeCell ref="B37:J39"/>
    <mergeCell ref="B42:J42"/>
    <mergeCell ref="B43:J47"/>
    <mergeCell ref="B50:J5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70"/>
  <sheetViews>
    <sheetView showGridLines="0" zoomScaleNormal="100" workbookViewId="0">
      <selection activeCell="J14" sqref="J14"/>
    </sheetView>
  </sheetViews>
  <sheetFormatPr baseColWidth="10" defaultColWidth="8.796875" defaultRowHeight="13.8"/>
  <cols>
    <col min="1" max="1" width="3" customWidth="1"/>
    <col min="2" max="2" width="38" customWidth="1"/>
    <col min="3" max="4" width="17" customWidth="1"/>
    <col min="5" max="6" width="18" customWidth="1"/>
    <col min="7" max="7" width="4" customWidth="1"/>
    <col min="8" max="10" width="20" customWidth="1"/>
    <col min="11" max="11" width="3" customWidth="1"/>
  </cols>
  <sheetData>
    <row r="1" spans="1:11">
      <c r="A1" s="1"/>
      <c r="B1" s="1"/>
      <c r="C1" s="1"/>
      <c r="D1" s="1"/>
      <c r="E1" s="1"/>
      <c r="F1" s="1"/>
      <c r="G1" s="1"/>
      <c r="H1" s="1"/>
      <c r="I1" s="1"/>
      <c r="J1" s="1"/>
      <c r="K1" s="1"/>
    </row>
    <row r="2" spans="1:11" ht="45.3" customHeight="1">
      <c r="A2" s="1"/>
      <c r="B2" s="22" t="s">
        <v>103</v>
      </c>
      <c r="C2" s="22"/>
      <c r="D2" s="22"/>
      <c r="E2" s="22"/>
      <c r="F2" s="22"/>
      <c r="G2" s="22"/>
      <c r="H2" s="22"/>
      <c r="I2" s="22"/>
      <c r="J2" s="22"/>
      <c r="K2" s="1"/>
    </row>
    <row r="3" spans="1:11" ht="30.75" customHeight="1">
      <c r="A3" s="1"/>
      <c r="B3" s="23" t="s">
        <v>104</v>
      </c>
      <c r="C3" s="23"/>
      <c r="D3" s="23"/>
      <c r="E3" s="23"/>
      <c r="F3" s="23"/>
      <c r="G3" s="23"/>
      <c r="H3" s="23"/>
      <c r="I3" s="23"/>
      <c r="J3" s="23"/>
      <c r="K3" s="1"/>
    </row>
    <row r="4" spans="1:11" ht="6.75" customHeight="1">
      <c r="A4" s="1"/>
      <c r="B4" s="24"/>
      <c r="C4" s="24"/>
      <c r="D4" s="24"/>
      <c r="E4" s="24"/>
      <c r="F4" s="24"/>
      <c r="G4" s="24"/>
      <c r="H4" s="24"/>
      <c r="I4" s="24"/>
      <c r="J4" s="24"/>
      <c r="K4" s="1"/>
    </row>
    <row r="5" spans="1:11">
      <c r="A5" s="1"/>
      <c r="B5" s="1"/>
      <c r="C5" s="1"/>
      <c r="D5" s="1"/>
      <c r="E5" s="1"/>
      <c r="F5" s="1"/>
      <c r="G5" s="1"/>
      <c r="H5" s="1"/>
      <c r="I5" s="1"/>
      <c r="J5" s="1"/>
      <c r="K5" s="1"/>
    </row>
    <row r="6" spans="1:11">
      <c r="A6" s="1"/>
      <c r="B6" s="1"/>
      <c r="C6" s="1"/>
      <c r="D6" s="1"/>
      <c r="E6" s="1"/>
      <c r="F6" s="1"/>
      <c r="G6" s="1"/>
      <c r="H6" s="1"/>
      <c r="I6" s="1"/>
      <c r="J6" s="1"/>
      <c r="K6" s="1"/>
    </row>
    <row r="7" spans="1:11" ht="30.75" customHeight="1">
      <c r="A7" s="1"/>
      <c r="B7" s="19" t="s">
        <v>105</v>
      </c>
      <c r="C7" s="19"/>
      <c r="D7" s="19"/>
      <c r="E7" s="19"/>
      <c r="F7" s="19"/>
      <c r="G7" s="19"/>
      <c r="H7" s="19"/>
      <c r="I7" s="19"/>
      <c r="J7" s="19"/>
      <c r="K7" s="1"/>
    </row>
    <row r="8" spans="1:11" ht="26.4">
      <c r="A8" s="1"/>
      <c r="B8" s="6" t="s">
        <v>106</v>
      </c>
      <c r="C8" s="55" t="s">
        <v>150</v>
      </c>
      <c r="D8" s="55"/>
      <c r="E8" s="55"/>
      <c r="F8" s="6" t="s">
        <v>107</v>
      </c>
      <c r="G8" s="57" t="s">
        <v>151</v>
      </c>
      <c r="H8" s="57"/>
      <c r="I8" s="57"/>
      <c r="J8" s="57"/>
      <c r="K8" s="1"/>
    </row>
    <row r="9" spans="1:11">
      <c r="A9" s="1"/>
      <c r="B9" s="1"/>
      <c r="C9" s="43"/>
      <c r="D9" s="43"/>
      <c r="E9" s="43"/>
      <c r="F9" s="1"/>
      <c r="G9" s="43"/>
      <c r="H9" s="43"/>
      <c r="I9" s="43"/>
      <c r="J9" s="43"/>
      <c r="K9" s="1"/>
    </row>
    <row r="10" spans="1:11" ht="26.4">
      <c r="A10" s="1"/>
      <c r="B10" s="6" t="s">
        <v>108</v>
      </c>
      <c r="C10" s="56">
        <v>46263</v>
      </c>
      <c r="D10" s="56"/>
      <c r="E10" s="56"/>
      <c r="F10" s="6" t="s">
        <v>109</v>
      </c>
      <c r="G10" s="48" t="s">
        <v>110</v>
      </c>
      <c r="H10" s="31"/>
      <c r="I10" s="31"/>
      <c r="J10" s="31"/>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ht="30.75" customHeight="1">
      <c r="A13" s="1"/>
      <c r="B13" s="19" t="s">
        <v>111</v>
      </c>
      <c r="C13" s="19"/>
      <c r="D13" s="19"/>
      <c r="E13" s="19"/>
      <c r="F13" s="19"/>
      <c r="G13" s="19"/>
      <c r="H13" s="19"/>
      <c r="I13" s="19"/>
      <c r="J13" s="19"/>
      <c r="K13" s="1"/>
    </row>
    <row r="14" spans="1:11" ht="37.200000000000003" customHeight="1">
      <c r="A14" s="1"/>
      <c r="B14" s="3" t="s">
        <v>26</v>
      </c>
      <c r="C14" s="3" t="s">
        <v>112</v>
      </c>
      <c r="D14" s="3" t="s">
        <v>113</v>
      </c>
      <c r="E14" s="3" t="s">
        <v>114</v>
      </c>
      <c r="F14" s="3" t="s">
        <v>115</v>
      </c>
      <c r="G14" s="1"/>
      <c r="H14" s="1"/>
      <c r="I14" s="1"/>
      <c r="J14" s="1"/>
      <c r="K14" s="1"/>
    </row>
    <row r="15" spans="1:11">
      <c r="A15" s="1"/>
      <c r="B15" s="4" t="s">
        <v>116</v>
      </c>
      <c r="C15" s="10">
        <v>63030</v>
      </c>
      <c r="D15" s="10">
        <v>66640</v>
      </c>
      <c r="E15" s="46">
        <f>((D15-C15)/C15)</f>
        <v>5.7274313818816439E-2</v>
      </c>
      <c r="F15" s="45">
        <f>SUM(D15/686000)</f>
        <v>9.7142857142857142E-2</v>
      </c>
      <c r="G15" s="1"/>
      <c r="H15" s="1"/>
      <c r="I15" s="1"/>
      <c r="J15" s="1"/>
      <c r="K15" s="1"/>
    </row>
    <row r="16" spans="1:11">
      <c r="A16" s="1"/>
      <c r="B16" s="4" t="s">
        <v>32</v>
      </c>
      <c r="C16" s="10">
        <v>112430</v>
      </c>
      <c r="D16" s="10">
        <v>118900</v>
      </c>
      <c r="E16" s="46">
        <f t="shared" ref="E16:E19" si="0">SUM((D16-C16)/C16)</f>
        <v>5.7546918082362356E-2</v>
      </c>
      <c r="F16" s="46">
        <f>(D16/686000)</f>
        <v>0.17332361516034986</v>
      </c>
      <c r="G16" s="1"/>
      <c r="H16" s="1"/>
      <c r="I16" s="1"/>
      <c r="J16" s="1"/>
      <c r="K16" s="1"/>
    </row>
    <row r="17" spans="1:11">
      <c r="A17" s="1"/>
      <c r="B17" s="4" t="s">
        <v>33</v>
      </c>
      <c r="C17" s="10">
        <v>41980</v>
      </c>
      <c r="D17" s="10">
        <v>44210</v>
      </c>
      <c r="E17" s="46">
        <f t="shared" si="0"/>
        <v>5.312053358742258E-2</v>
      </c>
      <c r="F17" s="46">
        <f>(D17/686000)</f>
        <v>6.4446064139941694E-2</v>
      </c>
      <c r="G17" s="1"/>
      <c r="H17" s="1"/>
      <c r="I17" s="1"/>
      <c r="J17" s="1"/>
      <c r="K17" s="1"/>
    </row>
    <row r="18" spans="1:11">
      <c r="A18" s="1"/>
      <c r="B18" s="4" t="s">
        <v>117</v>
      </c>
      <c r="C18" s="10">
        <v>103540</v>
      </c>
      <c r="D18" s="10">
        <v>109870</v>
      </c>
      <c r="E18" s="46">
        <f t="shared" si="0"/>
        <v>6.1135792930268495E-2</v>
      </c>
      <c r="F18" s="46">
        <f>(D18/686000)</f>
        <v>0.16016034985422742</v>
      </c>
      <c r="G18" s="1"/>
      <c r="H18" s="1"/>
      <c r="I18" s="1"/>
      <c r="J18" s="1"/>
      <c r="K18" s="1"/>
    </row>
    <row r="19" spans="1:11">
      <c r="A19" s="1"/>
      <c r="B19" s="4" t="s">
        <v>149</v>
      </c>
      <c r="C19" s="10">
        <v>33760</v>
      </c>
      <c r="D19" s="10">
        <v>35980</v>
      </c>
      <c r="E19" s="46">
        <f t="shared" si="0"/>
        <v>6.5758293838862558E-2</v>
      </c>
      <c r="F19" s="46">
        <f>(D19/686000)</f>
        <v>5.2448979591836732E-2</v>
      </c>
      <c r="G19" s="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ht="30.75" customHeight="1">
      <c r="A22" s="1"/>
      <c r="B22" s="21" t="s">
        <v>118</v>
      </c>
      <c r="C22" s="21"/>
      <c r="D22" s="21"/>
      <c r="E22" s="21"/>
      <c r="F22" s="21"/>
      <c r="G22" s="21"/>
      <c r="H22" s="21"/>
      <c r="I22" s="21"/>
      <c r="J22" s="21"/>
      <c r="K22" s="1"/>
    </row>
    <row r="23" spans="1:11">
      <c r="A23" s="1"/>
      <c r="B23" s="15" t="s">
        <v>119</v>
      </c>
      <c r="C23" s="15"/>
      <c r="D23" s="15"/>
      <c r="E23" s="15"/>
      <c r="F23" s="15"/>
      <c r="G23" s="15"/>
      <c r="H23" s="15"/>
      <c r="I23" s="15"/>
      <c r="J23" s="15"/>
      <c r="K23" s="1"/>
    </row>
    <row r="24" spans="1:11">
      <c r="A24" s="1"/>
      <c r="B24" s="15"/>
      <c r="C24" s="15"/>
      <c r="D24" s="15"/>
      <c r="E24" s="15"/>
      <c r="F24" s="15"/>
      <c r="G24" s="15"/>
      <c r="H24" s="15"/>
      <c r="I24" s="15"/>
      <c r="J24" s="15"/>
      <c r="K24" s="1"/>
    </row>
    <row r="25" spans="1:11">
      <c r="A25" s="1"/>
      <c r="B25" s="15"/>
      <c r="C25" s="15"/>
      <c r="D25" s="15"/>
      <c r="E25" s="15"/>
      <c r="F25" s="15"/>
      <c r="G25" s="15"/>
      <c r="H25" s="15"/>
      <c r="I25" s="15"/>
      <c r="J25" s="15"/>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ht="30.75" customHeight="1">
      <c r="A28" s="1"/>
      <c r="B28" s="19" t="s">
        <v>120</v>
      </c>
      <c r="C28" s="19"/>
      <c r="D28" s="19"/>
      <c r="E28" s="19"/>
      <c r="F28" s="19"/>
      <c r="G28" s="19"/>
      <c r="H28" s="19"/>
      <c r="I28" s="19"/>
      <c r="J28" s="19"/>
      <c r="K28" s="1"/>
    </row>
    <row r="29" spans="1:11">
      <c r="A29" s="1"/>
      <c r="B29" s="17" t="s">
        <v>121</v>
      </c>
      <c r="C29" s="17"/>
      <c r="D29" s="17"/>
      <c r="E29" s="17"/>
      <c r="F29" s="47">
        <f>F16</f>
        <v>0.17332361516034986</v>
      </c>
      <c r="G29" s="39"/>
      <c r="H29" s="39"/>
      <c r="I29" s="39"/>
      <c r="J29" s="39"/>
      <c r="K29" s="1"/>
    </row>
    <row r="30" spans="1:11">
      <c r="A30" s="1"/>
      <c r="B30" s="1"/>
      <c r="C30" s="1"/>
      <c r="D30" s="1"/>
      <c r="E30" s="1"/>
      <c r="F30" s="1"/>
      <c r="G30" s="1"/>
      <c r="H30" s="1"/>
      <c r="I30" s="1"/>
      <c r="J30" s="1"/>
      <c r="K30" s="1"/>
    </row>
    <row r="31" spans="1:11">
      <c r="A31" s="1"/>
      <c r="B31" s="17" t="s">
        <v>122</v>
      </c>
      <c r="C31" s="17"/>
      <c r="D31" s="17"/>
      <c r="E31" s="17"/>
      <c r="F31" s="47">
        <f>E19</f>
        <v>6.5758293838862558E-2</v>
      </c>
      <c r="G31" s="39"/>
      <c r="H31" s="39"/>
      <c r="I31" s="39"/>
      <c r="J31" s="39"/>
      <c r="K31" s="1"/>
    </row>
    <row r="32" spans="1:11">
      <c r="A32" s="1"/>
      <c r="B32" s="1"/>
      <c r="C32" s="1"/>
      <c r="D32" s="1"/>
      <c r="E32" s="1"/>
      <c r="F32" s="1"/>
      <c r="G32" s="1"/>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c r="A36" s="1"/>
      <c r="B36" s="1"/>
      <c r="C36" s="1"/>
      <c r="D36" s="1"/>
      <c r="E36" s="1"/>
      <c r="F36" s="1"/>
      <c r="G36" s="1"/>
      <c r="H36" s="1"/>
      <c r="I36" s="1"/>
      <c r="J36" s="1"/>
      <c r="K36" s="1"/>
    </row>
    <row r="37" spans="1:11">
      <c r="A37" s="1"/>
      <c r="B37" s="1"/>
      <c r="C37" s="1"/>
      <c r="D37" s="1"/>
      <c r="E37" s="1"/>
      <c r="F37" s="1"/>
      <c r="G37" s="1"/>
      <c r="H37" s="1"/>
      <c r="I37" s="1"/>
      <c r="J37" s="1"/>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c r="A42" s="1"/>
      <c r="B42" s="1"/>
      <c r="C42" s="1"/>
      <c r="D42" s="1"/>
      <c r="E42" s="1"/>
      <c r="F42" s="1"/>
      <c r="G42" s="1"/>
      <c r="H42" s="1"/>
      <c r="I42" s="1"/>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ht="41.25" customHeight="1">
      <c r="A52" s="1"/>
      <c r="B52" s="16" t="s">
        <v>123</v>
      </c>
      <c r="C52" s="16"/>
      <c r="D52" s="16"/>
      <c r="E52" s="16"/>
      <c r="F52" s="16"/>
      <c r="G52" s="16"/>
      <c r="H52" s="16"/>
      <c r="I52" s="16"/>
      <c r="J52" s="16"/>
      <c r="K52" s="1"/>
    </row>
    <row r="53" spans="1:11" ht="31.95" customHeight="1">
      <c r="A53" s="1"/>
      <c r="B53" s="52" t="s">
        <v>154</v>
      </c>
      <c r="C53" s="52"/>
      <c r="D53" s="52"/>
      <c r="E53" s="52"/>
      <c r="F53" s="52"/>
      <c r="G53" s="52"/>
      <c r="H53" s="52"/>
      <c r="I53" s="52"/>
      <c r="J53" s="52"/>
      <c r="K53" s="1"/>
    </row>
    <row r="54" spans="1:11" ht="31.95" customHeight="1">
      <c r="A54" s="1"/>
      <c r="B54" s="52"/>
      <c r="C54" s="52"/>
      <c r="D54" s="52"/>
      <c r="E54" s="52"/>
      <c r="F54" s="52"/>
      <c r="G54" s="52"/>
      <c r="H54" s="52"/>
      <c r="I54" s="52"/>
      <c r="J54" s="52"/>
      <c r="K54" s="1"/>
    </row>
    <row r="55" spans="1:11" ht="31.95" customHeight="1">
      <c r="A55" s="1"/>
      <c r="B55" s="52"/>
      <c r="C55" s="52"/>
      <c r="D55" s="52"/>
      <c r="E55" s="52"/>
      <c r="F55" s="52"/>
      <c r="G55" s="52"/>
      <c r="H55" s="52"/>
      <c r="I55" s="52"/>
      <c r="J55" s="52"/>
      <c r="K55" s="1"/>
    </row>
    <row r="56" spans="1:11" ht="31.95" customHeight="1">
      <c r="A56" s="1"/>
      <c r="B56" s="52"/>
      <c r="C56" s="52"/>
      <c r="D56" s="52"/>
      <c r="E56" s="52"/>
      <c r="F56" s="52"/>
      <c r="G56" s="52"/>
      <c r="H56" s="52"/>
      <c r="I56" s="52"/>
      <c r="J56" s="52"/>
      <c r="K56" s="1"/>
    </row>
    <row r="57" spans="1:11">
      <c r="A57" s="1"/>
      <c r="B57" s="1"/>
      <c r="C57" s="1"/>
      <c r="D57" s="1"/>
      <c r="E57" s="1"/>
      <c r="F57" s="1"/>
      <c r="G57" s="1"/>
      <c r="H57" s="1"/>
      <c r="I57" s="1"/>
      <c r="J57" s="1"/>
      <c r="K57" s="1"/>
    </row>
    <row r="58" spans="1:11" ht="41.25" customHeight="1">
      <c r="A58" s="1"/>
      <c r="B58" s="16" t="s">
        <v>124</v>
      </c>
      <c r="C58" s="16"/>
      <c r="D58" s="16"/>
      <c r="E58" s="16"/>
      <c r="F58" s="16"/>
      <c r="G58" s="16"/>
      <c r="H58" s="16"/>
      <c r="I58" s="16"/>
      <c r="J58" s="16"/>
      <c r="K58" s="1"/>
    </row>
    <row r="59" spans="1:11" s="49" customFormat="1" ht="15.6">
      <c r="B59" s="51" t="s">
        <v>152</v>
      </c>
      <c r="C59" s="51"/>
      <c r="D59" s="51"/>
      <c r="E59" s="51"/>
      <c r="F59" s="51" t="s">
        <v>155</v>
      </c>
      <c r="G59" s="51"/>
      <c r="H59" s="51"/>
      <c r="I59" s="51"/>
      <c r="J59" s="51"/>
    </row>
    <row r="60" spans="1:11" ht="31.95" customHeight="1">
      <c r="A60" s="1"/>
      <c r="B60" s="53" t="s">
        <v>153</v>
      </c>
      <c r="C60" s="53"/>
      <c r="D60" s="53"/>
      <c r="E60" s="53"/>
      <c r="F60" s="53" t="s">
        <v>156</v>
      </c>
      <c r="G60" s="53"/>
      <c r="H60" s="53"/>
      <c r="I60" s="53"/>
      <c r="J60" s="53"/>
      <c r="K60" s="1"/>
    </row>
    <row r="61" spans="1:11" ht="31.95" customHeight="1">
      <c r="A61" s="1"/>
      <c r="B61" s="53"/>
      <c r="C61" s="53"/>
      <c r="D61" s="53"/>
      <c r="E61" s="53"/>
      <c r="F61" s="53"/>
      <c r="G61" s="53"/>
      <c r="H61" s="53"/>
      <c r="I61" s="53"/>
      <c r="J61" s="53"/>
      <c r="K61" s="1"/>
    </row>
    <row r="62" spans="1:11" ht="31.95" customHeight="1">
      <c r="A62" s="1"/>
      <c r="B62" s="53"/>
      <c r="C62" s="53"/>
      <c r="D62" s="53"/>
      <c r="E62" s="53"/>
      <c r="F62" s="53"/>
      <c r="G62" s="53"/>
      <c r="H62" s="53"/>
      <c r="I62" s="53"/>
      <c r="J62" s="53"/>
      <c r="K62" s="1"/>
    </row>
    <row r="63" spans="1:11" ht="31.95" customHeight="1">
      <c r="A63" s="1"/>
      <c r="B63" s="53"/>
      <c r="C63" s="53"/>
      <c r="D63" s="53"/>
      <c r="E63" s="53"/>
      <c r="F63" s="53"/>
      <c r="G63" s="53"/>
      <c r="H63" s="53"/>
      <c r="I63" s="53"/>
      <c r="J63" s="53"/>
      <c r="K63" s="1"/>
    </row>
    <row r="64" spans="1:11" ht="31.95" customHeight="1">
      <c r="A64" s="1"/>
      <c r="B64" s="54" t="s">
        <v>158</v>
      </c>
      <c r="C64" s="54"/>
      <c r="D64" s="54"/>
      <c r="E64" s="54"/>
      <c r="F64" s="54" t="s">
        <v>157</v>
      </c>
      <c r="G64" s="54"/>
      <c r="H64" s="54"/>
      <c r="I64" s="54"/>
      <c r="J64" s="54"/>
      <c r="K64" s="1"/>
    </row>
    <row r="65" spans="1:11">
      <c r="A65" s="1"/>
      <c r="B65" s="1"/>
      <c r="C65" s="1"/>
      <c r="D65" s="1"/>
      <c r="E65" s="1"/>
      <c r="F65" s="1"/>
      <c r="G65" s="1"/>
      <c r="H65" s="1"/>
      <c r="I65" s="1"/>
      <c r="J65" s="1"/>
      <c r="K65" s="1"/>
    </row>
    <row r="66" spans="1:11" ht="41.25" customHeight="1">
      <c r="A66" s="1"/>
      <c r="B66" s="16" t="s">
        <v>125</v>
      </c>
      <c r="C66" s="16"/>
      <c r="D66" s="16"/>
      <c r="E66" s="16"/>
      <c r="F66" s="16"/>
      <c r="G66" s="16"/>
      <c r="H66" s="16"/>
      <c r="I66" s="16"/>
      <c r="J66" s="16"/>
      <c r="K66" s="1"/>
    </row>
    <row r="67" spans="1:11" ht="31.95" customHeight="1">
      <c r="A67" s="1"/>
      <c r="B67" s="52" t="s">
        <v>159</v>
      </c>
      <c r="C67" s="52"/>
      <c r="D67" s="52"/>
      <c r="E67" s="52"/>
      <c r="F67" s="52"/>
      <c r="G67" s="52"/>
      <c r="H67" s="52"/>
      <c r="I67" s="52"/>
      <c r="J67" s="52"/>
      <c r="K67" s="1"/>
    </row>
    <row r="68" spans="1:11" ht="31.95" customHeight="1">
      <c r="A68" s="1"/>
      <c r="B68" s="52"/>
      <c r="C68" s="52"/>
      <c r="D68" s="52"/>
      <c r="E68" s="52"/>
      <c r="F68" s="52"/>
      <c r="G68" s="52"/>
      <c r="H68" s="52"/>
      <c r="I68" s="52"/>
      <c r="J68" s="52"/>
      <c r="K68" s="1"/>
    </row>
    <row r="69" spans="1:11" ht="31.95" customHeight="1">
      <c r="A69" s="1"/>
      <c r="B69" s="52"/>
      <c r="C69" s="52"/>
      <c r="D69" s="52"/>
      <c r="E69" s="52"/>
      <c r="F69" s="52"/>
      <c r="G69" s="52"/>
      <c r="H69" s="52"/>
      <c r="I69" s="52"/>
      <c r="J69" s="52"/>
      <c r="K69" s="1"/>
    </row>
    <row r="70" spans="1:11" ht="31.95" customHeight="1">
      <c r="A70" s="1"/>
      <c r="B70" s="52"/>
      <c r="C70" s="52"/>
      <c r="D70" s="52"/>
      <c r="E70" s="52"/>
      <c r="F70" s="52"/>
      <c r="G70" s="52"/>
      <c r="H70" s="52"/>
      <c r="I70" s="52"/>
      <c r="J70" s="52"/>
      <c r="K70" s="1"/>
    </row>
  </sheetData>
  <mergeCells count="27">
    <mergeCell ref="F64:J64"/>
    <mergeCell ref="B2:J2"/>
    <mergeCell ref="B3:J3"/>
    <mergeCell ref="B4:J4"/>
    <mergeCell ref="B7:J7"/>
    <mergeCell ref="G10:J10"/>
    <mergeCell ref="C10:E10"/>
    <mergeCell ref="G8:J8"/>
    <mergeCell ref="C8:E8"/>
    <mergeCell ref="B13:J13"/>
    <mergeCell ref="B22:J22"/>
    <mergeCell ref="B23:J25"/>
    <mergeCell ref="B28:J28"/>
    <mergeCell ref="B29:E29"/>
    <mergeCell ref="F29:J29"/>
    <mergeCell ref="B66:J66"/>
    <mergeCell ref="B67:J70"/>
    <mergeCell ref="B31:E31"/>
    <mergeCell ref="F31:J31"/>
    <mergeCell ref="B52:J52"/>
    <mergeCell ref="B53:J56"/>
    <mergeCell ref="B58:J58"/>
    <mergeCell ref="B60:E63"/>
    <mergeCell ref="B59:E59"/>
    <mergeCell ref="F59:J59"/>
    <mergeCell ref="F60:J63"/>
    <mergeCell ref="B64:E64"/>
  </mergeCells>
  <hyperlinks>
    <hyperlink ref="G10" r:id="rId1" xr:uid="{B8699F32-B6F6-4EA0-9EC3-D97B92ACCA26}"/>
  </hyperlinks>
  <pageMargins left="0.7" right="0.7" top="0.75" bottom="0.75" header="0.3" footer="0.3"/>
  <ignoredErrors>
    <ignoredError sqref="F15" unlockedFormula="1"/>
    <ignoredError sqref="F16" formula="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Portada</vt:lpstr>
      <vt:lpstr>E1 Producción</vt:lpstr>
      <vt:lpstr>E2 Gasto</vt:lpstr>
      <vt:lpstr>E3 Ingreso</vt:lpstr>
      <vt:lpstr>E4 Tres enfoques</vt:lpstr>
      <vt:lpstr>E5 Guatemala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Roberto Higueros Maldonado</cp:lastModifiedBy>
  <dcterms:modified xsi:type="dcterms:W3CDTF">2026-08-30T02:16:39Z</dcterms:modified>
</cp:coreProperties>
</file>