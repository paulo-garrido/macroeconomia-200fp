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lejandraPerez\Downloads\"/>
    </mc:Choice>
  </mc:AlternateContent>
  <xr:revisionPtr revIDLastSave="0" documentId="13_ncr:1_{62896933-B82B-4B8A-9500-5E4BE456B05F}" xr6:coauthVersionLast="47" xr6:coauthVersionMax="47" xr10:uidLastSave="{00000000-0000-0000-0000-000000000000}"/>
  <bookViews>
    <workbookView xWindow="-108" yWindow="-108" windowWidth="23256" windowHeight="13896" activeTab="5" xr2:uid="{00000000-000D-0000-FFFF-FFFF00000000}"/>
  </bookViews>
  <sheets>
    <sheet name="Portada" sheetId="1" r:id="rId1"/>
    <sheet name="E1 Producción" sheetId="2" r:id="rId2"/>
    <sheet name="E2 Gasto" sheetId="3" r:id="rId3"/>
    <sheet name="E3 Ingreso" sheetId="4" r:id="rId4"/>
    <sheet name="E4 Tres enfoques" sheetId="5" r:id="rId5"/>
    <sheet name="E5 Guatemal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6" l="1"/>
  <c r="F18" i="6"/>
  <c r="F17" i="6"/>
  <c r="F16" i="6"/>
  <c r="F15" i="6"/>
  <c r="E19" i="6"/>
  <c r="E18" i="6"/>
  <c r="E17" i="6"/>
  <c r="E16" i="6"/>
  <c r="E15" i="6"/>
  <c r="F16" i="5"/>
  <c r="E24" i="5" s="1"/>
  <c r="C19" i="5"/>
  <c r="B24" i="5" s="1"/>
  <c r="E17" i="4"/>
  <c r="E19" i="4" s="1"/>
  <c r="D9" i="4" s="1"/>
  <c r="E22" i="3"/>
  <c r="E20" i="3"/>
  <c r="E18" i="3"/>
  <c r="E23" i="2"/>
  <c r="D13" i="2"/>
  <c r="C13" i="2"/>
  <c r="E12" i="2"/>
  <c r="E11" i="2"/>
  <c r="E10" i="2"/>
  <c r="E9" i="2"/>
  <c r="D10" i="4" l="1"/>
  <c r="D11" i="4"/>
  <c r="D12" i="4"/>
  <c r="D13" i="4"/>
  <c r="E24" i="3"/>
  <c r="E13" i="2"/>
  <c r="E21" i="2" s="1"/>
  <c r="E25" i="2" s="1"/>
  <c r="F9" i="2" l="1"/>
  <c r="F12" i="2"/>
  <c r="F11" i="2"/>
  <c r="F10" i="2"/>
  <c r="F13" i="2" l="1"/>
</calcChain>
</file>

<file path=xl/sharedStrings.xml><?xml version="1.0" encoding="utf-8"?>
<sst xmlns="http://schemas.openxmlformats.org/spreadsheetml/2006/main" count="160" uniqueCount="145">
  <si>
    <t>TAREA DE APLICACIÓN</t>
  </si>
  <si>
    <t>MEDICIÓN DEL PRODUCTO INTERNO BRUTO</t>
  </si>
  <si>
    <t>Producción · Gasto · Ingreso · Lectura del PIB de Guatemala
Formato de trabajo para desarrollar procedimientos, resultados e interpretaciones.</t>
  </si>
  <si>
    <t>DATOS DEL ESTUDIANTE</t>
  </si>
  <si>
    <t>Nombre</t>
  </si>
  <si>
    <t>Carné</t>
  </si>
  <si>
    <t>Fecha</t>
  </si>
  <si>
    <t>Sección / grupo</t>
  </si>
  <si>
    <t>CÓMO UTILIZAR ESTE ARCHIVO</t>
  </si>
  <si>
    <t>1. Use las celdas crema para desarrollar cálculos, completar resultados o ingresar datos del Banco de Guatemala.</t>
  </si>
  <si>
    <t>2. Mantenga un procedimiento legible. La tarea evalúa cálculo e interpretación, no únicamente la respuesta final.</t>
  </si>
  <si>
    <t>3. Los bloques azul claro son espacios para redactar interpretación económica y reflexión.</t>
  </si>
  <si>
    <t>4. En el ejercicio 5 registre la fuente exacta, la fecha de consulta y el PIB total utilizado como denominador.</t>
  </si>
  <si>
    <t>RECORRIDO DE LA TAREA</t>
  </si>
  <si>
    <t>01
PRODUCCIÓN
VAB y estructura</t>
  </si>
  <si>
    <t>02
GASTO
C + I + G + (X − M)</t>
  </si>
  <si>
    <t>03
INGRESO
Distribución primaria</t>
  </si>
  <si>
    <t>04
TRES ENFOQUES
Identidades y variables faltantes</t>
  </si>
  <si>
    <t>05
GUATEMALA
Estructura productiva real</t>
  </si>
  <si>
    <t>LEYENDA VISUAL</t>
  </si>
  <si>
    <t>COMPLETAR
por el estudiante</t>
  </si>
  <si>
    <t>INTERPRETAR
comentario / reflexión</t>
  </si>
  <si>
    <t>RECORDAR
fórmula o idea conceptual</t>
  </si>
  <si>
    <t>01  ·  PIB POR EL ENFOQUE DE LA PRODUCCIÓN</t>
  </si>
  <si>
    <t>Calcule el VAB por actividad, el VAB total, los impuestos netos y el PIB.</t>
  </si>
  <si>
    <t>DATOS Y CÁLCULOS</t>
  </si>
  <si>
    <t>Actividad económica</t>
  </si>
  <si>
    <t>VBP</t>
  </si>
  <si>
    <t>Consumo intermedio</t>
  </si>
  <si>
    <t>VAB</t>
  </si>
  <si>
    <t>% del VAB total</t>
  </si>
  <si>
    <t>Agricultura</t>
  </si>
  <si>
    <t>Industrias manufactureras</t>
  </si>
  <si>
    <t>Construcción</t>
  </si>
  <si>
    <t>Comercio y otros servicios</t>
  </si>
  <si>
    <t>DATOS ADICIONALES</t>
  </si>
  <si>
    <t>Impuestos sobre los productos</t>
  </si>
  <si>
    <t>Subvenciones sobre los productos</t>
  </si>
  <si>
    <t>RESULTADOS DE CIERRE</t>
  </si>
  <si>
    <t>VAB total</t>
  </si>
  <si>
    <t>Impuestos netos sobre los productos</t>
  </si>
  <si>
    <t>PIB por el enfoque de la producción</t>
  </si>
  <si>
    <t>PROCEDIMIENTO</t>
  </si>
  <si>
    <t>RECORDATORIO CONCEPTUAL</t>
  </si>
  <si>
    <t>VABᵢ = Producciónᵢ − Consumo intermedioᵢ
PIB = Σ VABᵢ + impuestos netos sobre los productos</t>
  </si>
  <si>
    <t>Interpretación (máximo cinco líneas): ¿por qué sería incorrecto sumar directamente el VBP de las cuatro actividades? ¿Cuál actividad genera la mayor proporción del valor agregado?</t>
  </si>
  <si>
    <t>02  ·  PIB POR EL ENFOQUE DEL GASTO</t>
  </si>
  <si>
    <t>Determine inversión agregada, exportaciones netas, PIB y el efecto de un cambio en el consumo.</t>
  </si>
  <si>
    <t>COMPONENTES DEL GASTO</t>
  </si>
  <si>
    <t>Componente</t>
  </si>
  <si>
    <t>Millones de Q</t>
  </si>
  <si>
    <t>Consumo final de los hogares</t>
  </si>
  <si>
    <t>Gasto de consumo final del gobierno</t>
  </si>
  <si>
    <t>Formación bruta de capital fijo</t>
  </si>
  <si>
    <t>Variación de existencias</t>
  </si>
  <si>
    <t>Exportaciones de bienes y servicios</t>
  </si>
  <si>
    <t>Importaciones de bienes y servicios</t>
  </si>
  <si>
    <t>RESULTADOS</t>
  </si>
  <si>
    <t>Inversión agregada (I)</t>
  </si>
  <si>
    <t>Exportaciones netas (X − M)</t>
  </si>
  <si>
    <t>PIB por el enfoque del gasto</t>
  </si>
  <si>
    <t>Nuevo PIB si C aumenta Q250 millones</t>
  </si>
  <si>
    <t>RECORDATORIO</t>
  </si>
  <si>
    <t>I = FBCF + ΔE       |       PIB = C + I + G + (X − M)</t>
  </si>
  <si>
    <t>Interpretación: explique (a) por qué las importaciones se restan en la identidad del gasto y (b) qué significa económicamente una variación de existencias negativa.</t>
  </si>
  <si>
    <t>03  ·  PIB POR EL ENFOQUE DEL INGRESO</t>
  </si>
  <si>
    <t>Calcule impuestos netos, PIB y la participación de los principales componentes del ingreso.</t>
  </si>
  <si>
    <t>COMPONENTES DEL INGRESO</t>
  </si>
  <si>
    <t>Componente del ingreso</t>
  </si>
  <si>
    <t>Participación en el PIB</t>
  </si>
  <si>
    <t>Remuneración de asalariados</t>
  </si>
  <si>
    <t>Excedente bruto de explotación</t>
  </si>
  <si>
    <t>Ingreso mixto bruto</t>
  </si>
  <si>
    <t>Impuestos sobre la producción y las importaciones</t>
  </si>
  <si>
    <t>Subvenciones</t>
  </si>
  <si>
    <t>Impuestos netos de subvenciones</t>
  </si>
  <si>
    <t>PIB por el enfoque del ingreso</t>
  </si>
  <si>
    <t>PIB = RA + EBE + IMB + impuestos netos
Participación = componente / PIB</t>
  </si>
  <si>
    <t>Interpretación: ¿qué representa el ingreso mixto y por qué puede ser particularmente relevante en economías con una presencia importante de trabajadores por cuenta propia y pequeños negocios familiares?</t>
  </si>
  <si>
    <t>04  ·  UNA ECONOMÍA, TRES ENFOQUES</t>
  </si>
  <si>
    <t>Recupere las variables faltantes y compruebe que producción, gasto e ingreso describen el mismo PIB.</t>
  </si>
  <si>
    <t>PIB CONOCIDO POR PRODUCCIÓN</t>
  </si>
  <si>
    <t>PIB por producción</t>
  </si>
  <si>
    <t>Q 9,000 millones</t>
  </si>
  <si>
    <t>ENFOQUE DEL GASTO</t>
  </si>
  <si>
    <t>ENFOQUE DEL INGRESO</t>
  </si>
  <si>
    <t>Consumo de los hogares</t>
  </si>
  <si>
    <t>Inversión</t>
  </si>
  <si>
    <t>Gasto del gobierno</t>
  </si>
  <si>
    <t>Ingreso mixto</t>
  </si>
  <si>
    <t>Exportaciones</t>
  </si>
  <si>
    <t>Impuestos netos</t>
  </si>
  <si>
    <t>Importaciones</t>
  </si>
  <si>
    <t>VARIABLES A RECUPERAR</t>
  </si>
  <si>
    <t>Importaciones (M)</t>
  </si>
  <si>
    <t>Excedente bruto de explotación (EBE)</t>
  </si>
  <si>
    <t>Verificación de identidad</t>
  </si>
  <si>
    <t>PIB producción = PIB gasto = PIB ingreso</t>
  </si>
  <si>
    <t>IDEA CENTRAL</t>
  </si>
  <si>
    <t>PIB₍producción₎ = PIB₍gasto₎ = PIB₍ingreso₎</t>
  </si>
  <si>
    <t>Explique por qué esta igualdad conceptual no implica que los tres enfoques utilicen exactamente las mismas fuentes estadísticas.</t>
  </si>
  <si>
    <t>Reflexión: si en la práctica las estimaciones de distintas fuentes presentan discrepancias estadísticas, ¿significa necesariamente que alguno de los tres enfoques está conceptualmente equivocado? Fundamente.</t>
  </si>
  <si>
    <t>05  ·  LECTURA DEL PIB DE GUATEMALA POR ACTIVIDAD ECONÓMICA</t>
  </si>
  <si>
    <t>Use información oficial del Banco de Guatemala para describir peso económico y variación reciente.</t>
  </si>
  <si>
    <t>TRAZABILIDAD DE LA INFORMACIÓN</t>
  </si>
  <si>
    <t>Nombre exacto del cuadro</t>
  </si>
  <si>
    <t>PIB total 2024 a precios corrientes</t>
  </si>
  <si>
    <t>Fecha de consulta</t>
  </si>
  <si>
    <t>URL / ruta de consulta</t>
  </si>
  <si>
    <t>ACTIVIDADES SELECCIONADAS</t>
  </si>
  <si>
    <t>VAB 2023</t>
  </si>
  <si>
    <t>VAB 2024</t>
  </si>
  <si>
    <t>Variación del valor (%)</t>
  </si>
  <si>
    <t>Participación PIB 2024 (%)</t>
  </si>
  <si>
    <t>Agricultura, ganadería, silvicultura y pesca</t>
  </si>
  <si>
    <t>Comercio y reparación de vehículos</t>
  </si>
  <si>
    <t>FÓRMULAS A UTILIZAR</t>
  </si>
  <si>
    <t>Variaciónᵢ = (VABᵢ,2024 / VABᵢ,2023 − 1) × 100
Participaciónᵢ = (VABᵢ,2024 / PIB₂₀₂₄) × 100
Use valores a precios corrientes para calcular participaciones.</t>
  </si>
  <si>
    <t>LECTURA DE LOS RESULTADOS</t>
  </si>
  <si>
    <t>Actividad con mayor participación dentro del PIB:</t>
  </si>
  <si>
    <t>Actividad con mayor variación entre 2023 y 2024:</t>
  </si>
  <si>
    <t>1. ¿La actividad con mayor participación en el PIB es necesariamente la que presenta la mayor variación? Explique la diferencia entre peso económico y dinamismo.</t>
  </si>
  <si>
    <t>2. Compare dos actividades seleccionadas. ¿Qué diferencias observa en su importancia relativa y comportamiento reciente?</t>
  </si>
  <si>
    <t>3. Si el PIB total aumenta mientras una actividad disminuye, ¿existe contradicción? Además, ¿qué precaución debe tener al interpretar variaciones calculadas con valores corrientes?</t>
  </si>
  <si>
    <t>5. Entregue este archivo.</t>
  </si>
  <si>
    <t>Alejandra del Carmen Pérez Marroquín</t>
  </si>
  <si>
    <t>A</t>
  </si>
  <si>
    <t>TOTAL</t>
  </si>
  <si>
    <t>VAB: Es la diferencia entre VPB - Consumo Intermedio.
VAB TOTAL: Es la suma de cada uno de los VAB.
IMPUESTOS NETOS: Resultado de la difernecia entre IMPUESTOS S/PRODUCTOS - SUBVENCIOS S/PRODUCTOS.
PIB: Es la suma del VAB TOTAL + IMPUESTOS NETOS.</t>
  </si>
  <si>
    <t>No es correcto sumar directamente el VBP de las cuatro actividades porque parte de la producción de una actividad se utiliza como insumo en otra, lo que generaría una doble contabilización del valor producido. De acuerdo con los datos, la actividad que genera la mayor proporción del valor agregado es Comercio y otros servicios, con un VAB de 1,350, equivalente al 33.25% del VAB total. Esto indica que es la actividad que más contribuye a la generación de riqueza en la economía analizada.</t>
  </si>
  <si>
    <t>Desarrolle aquí:
• I = FORMACIÓN BRUTA DE CF + VARIACIÓN DE EXISTENCIAS
• X − M = EXPORTACIÓN DE BYS - IMPORTACIONES DE BYS
• PIB = CONSUMO FINAL HOGARES + GASTO CONSUMO FINAL GOBIERNO
• nuevo PIB cuando el consumo aumenta Q250 millones.</t>
  </si>
  <si>
    <t>a) Las importaciones (M) se restan en la identidad del gasto porque forman parte del consumo, la inversión o el gasto realizado dentro del país, pero no fueron producidas internamente.
b) Una variación de existencias negativa significa que las empresas vendieron o utilizaron más inventarios de los que repusieron durante el período.
En este caso, las exportaciones netas (X - M) = -390, lo que indica que las importaciones fueron mayores que las exportaciones, generando un saldo comercial negativo que reduce el gasto agregado interno.</t>
  </si>
  <si>
    <t>Desarrolle las operaciones para:
• impuestos netos de subvenciones: 620 - 110.
• PIB por el enfoque del ingreso: 4,250 + 2,100 + 960 + 510
• participación de RA, EBE e ingreso mixto dentro del PIB: Q. 510 MILLONES</t>
  </si>
  <si>
    <t>El ingreso mixto bruto representa los ingresos obtenidos por los trabajadores por cuenta propia y los propietarios de pequeños negocios, donde no es posible separar claramente cuánto corresponde al trabajo realizado por el dueño y cuánto corresponde al capital invertido en la actividad económica.
En los datos presentados, el ingreso mixto bruto asciende a Q960 millones, equivalente al 12.28% del PIB, lo que evidencia una participación importante de este tipo de actividades en la economía.</t>
  </si>
  <si>
    <t>PIB= 900 = 5200 +1800+1500+1100-M sumamos los numeros que nos queda un total de 9600  como la importacion es negativa pasa al otro lado positiva y el 9000 pasa a restar dando un total de Q600 millones en importaciones  ahora para el exedente 9000 de PIB = a la sumatoria de 4300 + 1100 + 500 nos da un total de Q5900 como esta positva pasa negativa y restamos obteniendo un total de Q3100 millones de exceso bruto de explotacion.</t>
  </si>
  <si>
    <t>Cada enfoque utiliza información distinta para medir la actividad económica desde perspectivas diferentes.
El enfoque de producción se basa en datos de empresas y sectores productivos, como producción, ventas y consumos intermedios. El enfoque del gasto utiliza información sobre consumo de los hogares, inversión, gasto público, exportaciones e importaciones. Por su parte, el enfoque del ingreso se construye con datos sobre salarios, ganancias empresariales, ingresos mixtos e impuestos.
En este ejercicio, los tres enfoques convergen en un PIB de Q9,000 millones, confirmando la consistencia de la medición desde las tres perspectivas.</t>
  </si>
  <si>
    <t>No, las discrepancias estadísticas entre las estimaciones del PIB no significan necesariamente que alguno de los tres enfoques esté conceptualmente equivocado.
Las diferencias suelen surgir por limitaciones en la recolección de datos, errores de medición, retrasos en los registros, diferencias metodológicas, economía informal o información incompleta proveniente de encuestas y registros administrativos. Cada enfoque utiliza fuentes estadísticas distintas, por lo que es normal que inicialmente produzcan resultados diferentes.</t>
  </si>
  <si>
    <t xml:space="preserve">Producto Interno Bruto por el enfoque de la producción </t>
  </si>
  <si>
    <t>https://banguat.gob.gt/sites/default/files/banguat/Publica/PIB_Regional/7_Resultados_por_actividad_economica_en_departamentos.pdf</t>
  </si>
  <si>
    <t>COMERCIO Y REPARACIÓN DE VEHÍCULOS</t>
  </si>
  <si>
    <t>Suministro de Electricidad, agua y saneamiento</t>
  </si>
  <si>
    <t>SUMINISTRO DE ELECTRICIDAD, AGUA Y SANEAMIENTO</t>
  </si>
  <si>
    <t>No necesariamente. La actividad con mayor participación en el PIB no siempre es la que presenta la mayor variación porcentual entre un período y otro. El peso económico se refiere a la contribución de una actividad al PIB total y el dinamismo mide la velocidad de crecimiento o variación de una actividad entre dos períodos.
Según los datos, la actividad con mayor crecimiento entre 2023 y 2024 es Suministro de electricidad, agua y saneamiento, con una variación de 12.56%, aunque su participación en el PIB es de apenas 4.52%. Sin embargo, Comercio y reparación de vehículos destaca por su peso económico, mientras que Suministro de electricidad, agua y saneamiento destaca por su dinamismo.</t>
  </si>
  <si>
    <t>En seguimiento con la pregunta anterior, Comercio y reparación de vehículos destaca por su peso económico, mientras que Suministro de electricidad, agua y saneamiento destaca por su dinamismo.
La actividad de Comercio y reparación de vehículos presenta la mayor importancia relativa dentro de la economía analizada, ya que representa el 21.60% del PIB en 2024. Además, VAB aumentó de 169,370.39 a 186,914.86; por otro lado, Suministro de electricidad, agua y saneamiento tiene una participación mucho menor, de apenas 4.52% del PIB, por lo que su contribución al tamaño total de la economía es más reducida.</t>
  </si>
  <si>
    <t>No existe contradicción si el PIB total aumenta mientras una actividad económica disminuye. Esto puede ocurrir porque el crecimiento de otras actividades es lo suficientemente grande como para compensar la caída de la actividad que se reduce.
Respecto a las variaciones calculadas con valores corrientes, es importante tener precaución porque estos valores incluyen tanto cambios en las cantidades producidas como cambios en los precios. Por ello, una variación positiva puede deberse a un aumento real de la producción, al incremento de los precios (inflación) o a una combinación de ambos factores.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</si>
</sst>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name val="Carlito"/>
    </font>
    <font>
      <b/>
      <sz val="23"/>
      <color rgb="FFFFFFFF"/>
      <name val="Carlito"/>
    </font>
    <font>
      <b/>
      <sz val="14"/>
      <color rgb="FFDCE7F0"/>
      <name val="Carlito"/>
    </font>
    <font>
      <b/>
      <sz val="14"/>
      <color rgb="FF164873"/>
      <name val="Carlito"/>
    </font>
    <font>
      <b/>
      <sz val="11"/>
      <color rgb="FFFFFFFF"/>
      <name val="Carlito"/>
    </font>
    <font>
      <b/>
      <sz val="10"/>
      <color rgb="FF0B2E4F"/>
      <name val="Carlito"/>
    </font>
    <font>
      <sz val="10"/>
      <color rgb="FF0B2E4F"/>
      <name val="Carlito"/>
    </font>
    <font>
      <sz val="10"/>
      <color rgb="FF4B5563"/>
      <name val="Carlito"/>
    </font>
    <font>
      <b/>
      <sz val="11"/>
      <color rgb="FF0B2E4F"/>
      <name val="Carlito"/>
    </font>
    <font>
      <b/>
      <sz val="10"/>
      <color rgb="FF164873"/>
      <name val="Carlito"/>
    </font>
    <font>
      <b/>
      <sz val="10"/>
      <color rgb="FF2F6B57"/>
      <name val="Carlito"/>
    </font>
    <font>
      <b/>
      <sz val="19"/>
      <color rgb="FFFFFFFF"/>
      <name val="Carlito"/>
    </font>
    <font>
      <sz val="10"/>
      <color rgb="FFDCE7F0"/>
      <name val="Carlito"/>
    </font>
    <font>
      <b/>
      <sz val="10"/>
      <color rgb="FFFFFFFF"/>
      <name val="Carlito"/>
    </font>
    <font>
      <b/>
      <sz val="12"/>
      <color rgb="FFF97316"/>
      <name val="Carlito"/>
    </font>
    <font>
      <b/>
      <sz val="11"/>
      <color rgb="FF2F6B57"/>
      <name val="Carlito"/>
    </font>
    <font>
      <b/>
      <sz val="13"/>
      <color rgb="FF2F6B57"/>
      <name val="Carlito"/>
    </font>
    <font>
      <b/>
      <sz val="18"/>
      <color rgb="FFF97316"/>
      <name val="Carlito"/>
    </font>
    <font>
      <b/>
      <sz val="11"/>
      <color rgb="FFF97316"/>
      <name val="Carlito"/>
    </font>
    <font>
      <b/>
      <sz val="11"/>
      <name val="Carlito"/>
    </font>
    <font>
      <sz val="14"/>
      <color rgb="FF0B2E4F"/>
      <name val="Carlito"/>
    </font>
    <font>
      <b/>
      <sz val="13"/>
      <color rgb="FF0B2E4F"/>
      <name val="Carlito"/>
    </font>
    <font>
      <u/>
      <sz val="11"/>
      <color theme="10"/>
      <name val="Carlito"/>
    </font>
  </fonts>
  <fills count="11">
    <fill>
      <patternFill patternType="none"/>
    </fill>
    <fill>
      <patternFill patternType="gray125"/>
    </fill>
    <fill>
      <patternFill patternType="solid">
        <fgColor rgb="FFFFFFFF"/>
      </patternFill>
    </fill>
    <fill>
      <patternFill patternType="solid">
        <fgColor rgb="FF0B2E4F"/>
      </patternFill>
    </fill>
    <fill>
      <patternFill patternType="solid">
        <fgColor rgb="FFF97316"/>
      </patternFill>
    </fill>
    <fill>
      <patternFill patternType="solid">
        <fgColor rgb="FFEEF4F8"/>
      </patternFill>
    </fill>
    <fill>
      <patternFill patternType="solid">
        <fgColor rgb="FF164873"/>
      </patternFill>
    </fill>
    <fill>
      <patternFill patternType="solid">
        <fgColor rgb="FFF7F8FA"/>
      </patternFill>
    </fill>
    <fill>
      <patternFill patternType="solid">
        <fgColor rgb="FFFFF2E8"/>
      </patternFill>
    </fill>
    <fill>
      <patternFill patternType="solid">
        <fgColor rgb="FFEAF4EF"/>
      </patternFill>
    </fill>
    <fill>
      <patternFill patternType="solid">
        <fgColor rgb="FF2F6B57"/>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22" fillId="0" borderId="0" applyNumberFormat="0" applyFill="0" applyBorder="0" applyAlignment="0" applyProtection="0"/>
  </cellStyleXfs>
  <cellXfs count="71">
    <xf numFmtId="0" fontId="0" fillId="0" borderId="0" xfId="0"/>
    <xf numFmtId="0" fontId="0" fillId="2" borderId="0" xfId="0" applyFill="1"/>
    <xf numFmtId="0" fontId="5" fillId="7" borderId="0" xfId="0" applyFont="1" applyFill="1" applyAlignment="1">
      <alignment vertical="center"/>
    </xf>
    <xf numFmtId="0" fontId="6" fillId="8" borderId="0" xfId="0" applyFont="1" applyFill="1" applyAlignment="1">
      <alignment horizontal="left" vertical="center" wrapText="1"/>
    </xf>
    <xf numFmtId="0" fontId="13" fillId="6" borderId="0" xfId="0" applyFont="1" applyFill="1" applyAlignment="1">
      <alignment horizontal="center" vertical="center" wrapText="1"/>
    </xf>
    <xf numFmtId="0" fontId="7" fillId="7" borderId="0" xfId="0" applyFont="1" applyFill="1" applyAlignment="1">
      <alignment vertical="center" wrapText="1"/>
    </xf>
    <xf numFmtId="3" fontId="7" fillId="7" borderId="0" xfId="0" applyNumberFormat="1" applyFont="1" applyFill="1" applyAlignment="1">
      <alignment vertical="center" wrapText="1"/>
    </xf>
    <xf numFmtId="3" fontId="6" fillId="8" borderId="0" xfId="0" applyNumberFormat="1" applyFont="1" applyFill="1" applyAlignment="1">
      <alignment horizontal="left" vertical="center" wrapText="1"/>
    </xf>
    <xf numFmtId="10" fontId="6" fillId="8" borderId="0" xfId="0" applyNumberFormat="1" applyFont="1" applyFill="1" applyAlignment="1">
      <alignment horizontal="left" vertical="center" wrapText="1"/>
    </xf>
    <xf numFmtId="38" fontId="7" fillId="7" borderId="0" xfId="0" applyNumberFormat="1" applyFont="1" applyFill="1" applyAlignment="1">
      <alignment vertical="center" wrapText="1"/>
    </xf>
    <xf numFmtId="0" fontId="5" fillId="7" borderId="0" xfId="0" applyFont="1" applyFill="1" applyAlignment="1">
      <alignment vertical="center" wrapText="1"/>
    </xf>
    <xf numFmtId="4" fontId="6" fillId="8" borderId="0" xfId="0" applyNumberFormat="1" applyFont="1" applyFill="1" applyAlignment="1">
      <alignment horizontal="left" vertical="center" wrapText="1"/>
    </xf>
    <xf numFmtId="0" fontId="4" fillId="10" borderId="0" xfId="0" applyFont="1" applyFill="1" applyAlignment="1">
      <alignment vertical="center"/>
    </xf>
    <xf numFmtId="0" fontId="15" fillId="9" borderId="0" xfId="0" applyFont="1" applyFill="1" applyAlignment="1">
      <alignment horizontal="center" vertical="center" wrapText="1"/>
    </xf>
    <xf numFmtId="0" fontId="9" fillId="5" borderId="0" xfId="0" applyFont="1" applyFill="1" applyAlignment="1">
      <alignment vertical="center" wrapText="1"/>
    </xf>
    <xf numFmtId="0" fontId="14" fillId="8" borderId="0" xfId="0" applyFont="1" applyFill="1" applyAlignment="1">
      <alignment horizontal="center" vertical="center"/>
    </xf>
    <xf numFmtId="0" fontId="9" fillId="5" borderId="0" xfId="0" applyFont="1" applyFill="1" applyAlignment="1">
      <alignment horizontal="center" vertical="center" wrapText="1"/>
    </xf>
    <xf numFmtId="0" fontId="4" fillId="6" borderId="0" xfId="0" applyFont="1" applyFill="1" applyAlignment="1">
      <alignment vertical="center"/>
    </xf>
    <xf numFmtId="0" fontId="6" fillId="8" borderId="0" xfId="0" applyFont="1" applyFill="1" applyAlignment="1">
      <alignment vertical="top" wrapText="1"/>
    </xf>
    <xf numFmtId="0" fontId="10" fillId="9"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wrapText="1"/>
    </xf>
    <xf numFmtId="0" fontId="0" fillId="4" borderId="0" xfId="0" applyFill="1"/>
    <xf numFmtId="0" fontId="16" fillId="9" borderId="0" xfId="0" applyFont="1" applyFill="1" applyAlignment="1">
      <alignment horizontal="center" vertical="center"/>
    </xf>
    <xf numFmtId="0" fontId="17" fillId="8" borderId="0" xfId="0" applyFont="1" applyFill="1" applyAlignment="1">
      <alignment horizontal="center" vertical="center"/>
    </xf>
    <xf numFmtId="0" fontId="8" fillId="7" borderId="0" xfId="0" applyFont="1" applyFill="1" applyAlignment="1">
      <alignment horizontal="center" vertical="center" wrapText="1"/>
    </xf>
    <xf numFmtId="0" fontId="8" fillId="8" borderId="0" xfId="0" applyFont="1" applyFill="1" applyAlignment="1">
      <alignment horizontal="center" vertical="center" wrapText="1"/>
    </xf>
    <xf numFmtId="0" fontId="5" fillId="8" borderId="0" xfId="0" applyFont="1" applyFill="1" applyAlignment="1">
      <alignment horizontal="center" vertical="center" wrapText="1"/>
    </xf>
    <xf numFmtId="0" fontId="10" fillId="9" borderId="0" xfId="0" applyFont="1" applyFill="1" applyAlignment="1">
      <alignment horizontal="center" vertical="center" wrapText="1"/>
    </xf>
    <xf numFmtId="0" fontId="7" fillId="2" borderId="0" xfId="0" applyFont="1" applyFill="1" applyAlignment="1">
      <alignment vertical="center" wrapText="1"/>
    </xf>
    <xf numFmtId="0" fontId="1" fillId="3" borderId="0" xfId="0" applyFont="1" applyFill="1" applyAlignment="1">
      <alignment vertical="center"/>
    </xf>
    <xf numFmtId="0" fontId="2" fillId="3" borderId="0" xfId="0" applyFont="1" applyFill="1" applyAlignment="1">
      <alignment vertical="center"/>
    </xf>
    <xf numFmtId="0" fontId="3" fillId="5" borderId="0" xfId="0" applyFont="1" applyFill="1" applyAlignment="1">
      <alignment horizontal="center" vertical="center" wrapText="1"/>
    </xf>
    <xf numFmtId="0" fontId="18" fillId="8" borderId="0" xfId="0" applyFont="1" applyFill="1" applyAlignment="1">
      <alignment horizontal="center" vertical="center"/>
    </xf>
    <xf numFmtId="0" fontId="6" fillId="8" borderId="0" xfId="0" applyFont="1" applyFill="1" applyAlignment="1">
      <alignment horizontal="left" vertical="center" wrapText="1"/>
    </xf>
    <xf numFmtId="0" fontId="6" fillId="8" borderId="0" xfId="0" applyFont="1" applyFill="1" applyAlignment="1">
      <alignment horizontal="center" vertical="center" wrapText="1"/>
    </xf>
    <xf numFmtId="14" fontId="6" fillId="8" borderId="0" xfId="0" applyNumberFormat="1" applyFont="1" applyFill="1" applyAlignment="1">
      <alignment horizontal="left" vertical="center" wrapText="1"/>
    </xf>
    <xf numFmtId="0" fontId="19" fillId="2" borderId="0" xfId="0" applyFont="1" applyFill="1"/>
    <xf numFmtId="0" fontId="19" fillId="0" borderId="0" xfId="0" applyFont="1"/>
    <xf numFmtId="3" fontId="19" fillId="2" borderId="0" xfId="0" applyNumberFormat="1" applyFont="1" applyFill="1"/>
    <xf numFmtId="3" fontId="14" fillId="8" borderId="0" xfId="0" applyNumberFormat="1" applyFont="1" applyFill="1" applyAlignment="1">
      <alignment horizontal="center" vertical="center"/>
    </xf>
    <xf numFmtId="0" fontId="20" fillId="8" borderId="1"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6" fillId="8" borderId="4" xfId="0" applyFont="1" applyFill="1" applyBorder="1" applyAlignment="1">
      <alignment horizontal="center" vertical="center" wrapText="1"/>
    </xf>
    <xf numFmtId="0" fontId="6" fillId="8" borderId="0" xfId="0" applyFont="1" applyFill="1" applyBorder="1" applyAlignment="1">
      <alignment horizontal="center" vertical="center" wrapText="1"/>
    </xf>
    <xf numFmtId="0" fontId="6" fillId="8" borderId="5" xfId="0" applyFont="1" applyFill="1" applyBorder="1" applyAlignment="1">
      <alignment horizontal="center" vertical="center" wrapText="1"/>
    </xf>
    <xf numFmtId="0" fontId="6" fillId="8" borderId="6" xfId="0" applyFont="1" applyFill="1" applyBorder="1" applyAlignment="1">
      <alignment horizontal="center" vertical="center" wrapText="1"/>
    </xf>
    <xf numFmtId="0" fontId="6" fillId="8" borderId="7" xfId="0" applyFont="1" applyFill="1" applyBorder="1" applyAlignment="1">
      <alignment horizontal="center" vertical="center" wrapText="1"/>
    </xf>
    <xf numFmtId="0" fontId="6" fillId="8" borderId="8" xfId="0" applyFont="1" applyFill="1" applyBorder="1" applyAlignment="1">
      <alignment horizontal="center" vertical="center" wrapText="1"/>
    </xf>
    <xf numFmtId="38" fontId="14" fillId="8" borderId="0" xfId="0" applyNumberFormat="1" applyFont="1" applyFill="1" applyAlignment="1">
      <alignment horizontal="center" vertical="center"/>
    </xf>
    <xf numFmtId="0" fontId="21" fillId="8" borderId="1" xfId="0" applyFont="1" applyFill="1" applyBorder="1" applyAlignment="1">
      <alignment vertical="top" wrapText="1"/>
    </xf>
    <xf numFmtId="0" fontId="21" fillId="8" borderId="2" xfId="0" applyFont="1" applyFill="1" applyBorder="1" applyAlignment="1">
      <alignment vertical="top" wrapText="1"/>
    </xf>
    <xf numFmtId="0" fontId="21" fillId="8" borderId="3" xfId="0" applyFont="1" applyFill="1" applyBorder="1" applyAlignment="1">
      <alignment vertical="top" wrapText="1"/>
    </xf>
    <xf numFmtId="0" fontId="21" fillId="8" borderId="4" xfId="0" applyFont="1" applyFill="1" applyBorder="1" applyAlignment="1">
      <alignment vertical="top" wrapText="1"/>
    </xf>
    <xf numFmtId="0" fontId="21" fillId="8" borderId="0" xfId="0" applyFont="1" applyFill="1" applyBorder="1" applyAlignment="1">
      <alignment vertical="top" wrapText="1"/>
    </xf>
    <xf numFmtId="0" fontId="21" fillId="8" borderId="5" xfId="0" applyFont="1" applyFill="1" applyBorder="1" applyAlignment="1">
      <alignment vertical="top" wrapText="1"/>
    </xf>
    <xf numFmtId="0" fontId="21" fillId="8" borderId="6" xfId="0" applyFont="1" applyFill="1" applyBorder="1" applyAlignment="1">
      <alignment vertical="top" wrapText="1"/>
    </xf>
    <xf numFmtId="0" fontId="21" fillId="8" borderId="7" xfId="0" applyFont="1" applyFill="1" applyBorder="1" applyAlignment="1">
      <alignment vertical="top" wrapText="1"/>
    </xf>
    <xf numFmtId="0" fontId="21" fillId="8" borderId="8" xfId="0" applyFont="1" applyFill="1" applyBorder="1" applyAlignment="1">
      <alignment vertical="top" wrapText="1"/>
    </xf>
    <xf numFmtId="0" fontId="21" fillId="8" borderId="1" xfId="0" applyFont="1" applyFill="1" applyBorder="1" applyAlignment="1">
      <alignment horizontal="center" vertical="center" wrapText="1"/>
    </xf>
    <xf numFmtId="0" fontId="21" fillId="8" borderId="2" xfId="0" applyFont="1" applyFill="1" applyBorder="1" applyAlignment="1">
      <alignment horizontal="center" vertical="center" wrapText="1"/>
    </xf>
    <xf numFmtId="0" fontId="21" fillId="8" borderId="3" xfId="0" applyFont="1" applyFill="1" applyBorder="1" applyAlignment="1">
      <alignment horizontal="center" vertical="center" wrapText="1"/>
    </xf>
    <xf numFmtId="0" fontId="21" fillId="8" borderId="4" xfId="0" applyFont="1" applyFill="1" applyBorder="1" applyAlignment="1">
      <alignment horizontal="center" vertical="center" wrapText="1"/>
    </xf>
    <xf numFmtId="0" fontId="21" fillId="8" borderId="0" xfId="0" applyFont="1" applyFill="1" applyBorder="1" applyAlignment="1">
      <alignment horizontal="center" vertical="center" wrapText="1"/>
    </xf>
    <xf numFmtId="0" fontId="21" fillId="8" borderId="5" xfId="0" applyFont="1" applyFill="1" applyBorder="1" applyAlignment="1">
      <alignment horizontal="center" vertical="center" wrapText="1"/>
    </xf>
    <xf numFmtId="0" fontId="21" fillId="8" borderId="6" xfId="0" applyFont="1" applyFill="1" applyBorder="1" applyAlignment="1">
      <alignment horizontal="center" vertical="center" wrapText="1"/>
    </xf>
    <xf numFmtId="0" fontId="21" fillId="8" borderId="7" xfId="0" applyFont="1" applyFill="1" applyBorder="1" applyAlignment="1">
      <alignment horizontal="center" vertical="center" wrapText="1"/>
    </xf>
    <xf numFmtId="0" fontId="21" fillId="8" borderId="8" xfId="0" applyFont="1" applyFill="1" applyBorder="1" applyAlignment="1">
      <alignment horizontal="center" vertical="center" wrapText="1"/>
    </xf>
    <xf numFmtId="4" fontId="5" fillId="8" borderId="0" xfId="0" applyNumberFormat="1" applyFont="1" applyFill="1" applyAlignment="1">
      <alignment horizontal="left" vertical="center" wrapText="1"/>
    </xf>
    <xf numFmtId="0" fontId="22" fillId="8" borderId="0" xfId="1" applyFill="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col"/>
        <c:grouping val="clustered"/>
        <c:varyColors val="0"/>
        <c:ser>
          <c:idx val="0"/>
          <c:order val="0"/>
          <c:tx>
            <c:v>Participación 2024</c:v>
          </c:tx>
          <c:invertIfNegative val="1"/>
          <c:cat>
            <c:strRef>
              <c:f>'E5 Guatemala'!$B$15:$B$19</c:f>
              <c:strCache>
                <c:ptCount val="5"/>
                <c:pt idx="0">
                  <c:v>Agricultura, ganadería, silvicultura y pesca</c:v>
                </c:pt>
                <c:pt idx="1">
                  <c:v>Industrias manufactureras</c:v>
                </c:pt>
                <c:pt idx="2">
                  <c:v>Construcción</c:v>
                </c:pt>
                <c:pt idx="3">
                  <c:v>Comercio y reparación de vehículos</c:v>
                </c:pt>
                <c:pt idx="4">
                  <c:v>Suministro de Electricidad, agua y saneamiento</c:v>
                </c:pt>
              </c:strCache>
            </c:strRef>
          </c:cat>
          <c:val>
            <c:numRef>
              <c:f>'E5 Guatemala'!$F$15:$F$19</c:f>
              <c:numCache>
                <c:formatCode>0.00%</c:formatCode>
                <c:ptCount val="5"/>
                <c:pt idx="0">
                  <c:v>9.802771362899157E-2</c:v>
                </c:pt>
                <c:pt idx="1">
                  <c:v>0.13742105835719168</c:v>
                </c:pt>
                <c:pt idx="2">
                  <c:v>5.5210417035632849E-2</c:v>
                </c:pt>
                <c:pt idx="3">
                  <c:v>0.21598154585606189</c:v>
                </c:pt>
                <c:pt idx="4">
                  <c:v>4.5159835789140075E-2</c:v>
                </c:pt>
              </c:numCache>
            </c:numRef>
          </c:val>
          <c:extLst>
            <c:ext xmlns:c16="http://schemas.microsoft.com/office/drawing/2014/chart" uri="{C3380CC4-5D6E-409C-BE32-E72D297353CC}">
              <c16:uniqueId val="{00000000-8940-2748-A4BA-98395B61293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33</xdr:row>
      <xdr:rowOff>0</xdr:rowOff>
    </xdr:from>
    <xdr:to>
      <xdr:col>10</xdr:col>
      <xdr:colOff>0</xdr:colOff>
      <xdr:row>49</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banguat.gob.gt/sites/default/files/banguat/Publica/PIB_Regional/7_Resultados_por_actividad_economica_en_departamento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showGridLines="0" topLeftCell="A9" zoomScale="125" workbookViewId="0">
      <selection activeCell="C17" sqref="C17"/>
    </sheetView>
  </sheetViews>
  <sheetFormatPr baseColWidth="10" defaultColWidth="8.796875" defaultRowHeight="13.8"/>
  <cols>
    <col min="1" max="1" width="3" customWidth="1"/>
    <col min="2" max="10" width="17" customWidth="1"/>
    <col min="11" max="11" width="3" customWidth="1"/>
  </cols>
  <sheetData>
    <row r="1" spans="1:11">
      <c r="A1" s="1"/>
      <c r="B1" s="1"/>
      <c r="C1" s="1"/>
      <c r="D1" s="1"/>
      <c r="E1" s="1"/>
      <c r="F1" s="1"/>
      <c r="G1" s="1"/>
      <c r="H1" s="1"/>
      <c r="I1" s="1"/>
      <c r="J1" s="1"/>
      <c r="K1" s="1"/>
    </row>
    <row r="2" spans="1:11">
      <c r="A2" s="1"/>
      <c r="B2" s="30" t="s">
        <v>0</v>
      </c>
      <c r="C2" s="30"/>
      <c r="D2" s="30"/>
      <c r="E2" s="30"/>
      <c r="F2" s="30"/>
      <c r="G2" s="30"/>
      <c r="H2" s="30"/>
      <c r="I2" s="30"/>
      <c r="J2" s="30"/>
      <c r="K2" s="1"/>
    </row>
    <row r="3" spans="1:11">
      <c r="A3" s="1"/>
      <c r="B3" s="30"/>
      <c r="C3" s="30"/>
      <c r="D3" s="30"/>
      <c r="E3" s="30"/>
      <c r="F3" s="30"/>
      <c r="G3" s="30"/>
      <c r="H3" s="30"/>
      <c r="I3" s="30"/>
      <c r="J3" s="30"/>
      <c r="K3" s="1"/>
    </row>
    <row r="4" spans="1:11" ht="17.399999999999999">
      <c r="A4" s="1"/>
      <c r="B4" s="31" t="s">
        <v>1</v>
      </c>
      <c r="C4" s="31"/>
      <c r="D4" s="31"/>
      <c r="E4" s="31"/>
      <c r="F4" s="31"/>
      <c r="G4" s="31"/>
      <c r="H4" s="31"/>
      <c r="I4" s="31"/>
      <c r="J4" s="31"/>
      <c r="K4" s="1"/>
    </row>
    <row r="5" spans="1:11" ht="6.75" customHeight="1">
      <c r="A5" s="1"/>
      <c r="B5" s="22"/>
      <c r="C5" s="22"/>
      <c r="D5" s="22"/>
      <c r="E5" s="22"/>
      <c r="F5" s="22"/>
      <c r="G5" s="22"/>
      <c r="H5" s="22"/>
      <c r="I5" s="22"/>
      <c r="J5" s="22"/>
      <c r="K5" s="1"/>
    </row>
    <row r="6" spans="1:11">
      <c r="A6" s="1"/>
      <c r="B6" s="1"/>
      <c r="C6" s="1"/>
      <c r="D6" s="1"/>
      <c r="E6" s="1"/>
      <c r="F6" s="1"/>
      <c r="G6" s="1"/>
      <c r="H6" s="1"/>
      <c r="I6" s="1"/>
      <c r="J6" s="1"/>
      <c r="K6" s="1"/>
    </row>
    <row r="7" spans="1:11">
      <c r="A7" s="1"/>
      <c r="B7" s="1"/>
      <c r="C7" s="1"/>
      <c r="D7" s="1"/>
      <c r="E7" s="1"/>
      <c r="F7" s="1"/>
      <c r="G7" s="1"/>
      <c r="H7" s="1"/>
      <c r="I7" s="1"/>
      <c r="J7" s="1"/>
      <c r="K7" s="1"/>
    </row>
    <row r="8" spans="1:11">
      <c r="A8" s="1"/>
      <c r="B8" s="32" t="s">
        <v>2</v>
      </c>
      <c r="C8" s="32"/>
      <c r="D8" s="32"/>
      <c r="E8" s="32"/>
      <c r="F8" s="32"/>
      <c r="G8" s="32"/>
      <c r="H8" s="32"/>
      <c r="I8" s="32"/>
      <c r="J8" s="32"/>
      <c r="K8" s="1"/>
    </row>
    <row r="9" spans="1:11">
      <c r="A9" s="1"/>
      <c r="B9" s="32"/>
      <c r="C9" s="32"/>
      <c r="D9" s="32"/>
      <c r="E9" s="32"/>
      <c r="F9" s="32"/>
      <c r="G9" s="32"/>
      <c r="H9" s="32"/>
      <c r="I9" s="32"/>
      <c r="J9" s="32"/>
      <c r="K9" s="1"/>
    </row>
    <row r="10" spans="1:11">
      <c r="A10" s="1"/>
      <c r="B10" s="32"/>
      <c r="C10" s="32"/>
      <c r="D10" s="32"/>
      <c r="E10" s="32"/>
      <c r="F10" s="32"/>
      <c r="G10" s="32"/>
      <c r="H10" s="32"/>
      <c r="I10" s="32"/>
      <c r="J10" s="32"/>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7" t="s">
        <v>3</v>
      </c>
      <c r="C13" s="17"/>
      <c r="D13" s="17"/>
      <c r="E13" s="17"/>
      <c r="F13" s="17"/>
      <c r="G13" s="17"/>
      <c r="H13" s="17"/>
      <c r="I13" s="17"/>
      <c r="J13" s="17"/>
      <c r="K13" s="1"/>
    </row>
    <row r="14" spans="1:11">
      <c r="A14" s="1"/>
      <c r="B14" s="2" t="s">
        <v>4</v>
      </c>
      <c r="C14" s="35" t="s">
        <v>125</v>
      </c>
      <c r="D14" s="35"/>
      <c r="E14" s="35"/>
      <c r="F14" s="2" t="s">
        <v>5</v>
      </c>
      <c r="G14" s="3">
        <v>201504974</v>
      </c>
      <c r="H14" s="3"/>
      <c r="I14" s="3"/>
      <c r="J14" s="3"/>
      <c r="K14" s="1"/>
    </row>
    <row r="15" spans="1:11">
      <c r="A15" s="1"/>
      <c r="B15" s="1"/>
      <c r="C15" s="1"/>
      <c r="D15" s="1"/>
      <c r="E15" s="1"/>
      <c r="F15" s="1"/>
      <c r="G15" s="1"/>
      <c r="H15" s="1"/>
      <c r="I15" s="1"/>
      <c r="J15" s="1"/>
      <c r="K15" s="1"/>
    </row>
    <row r="16" spans="1:11">
      <c r="A16" s="1"/>
      <c r="B16" s="2" t="s">
        <v>6</v>
      </c>
      <c r="C16" s="36">
        <v>46261</v>
      </c>
      <c r="D16" s="3"/>
      <c r="E16" s="3"/>
      <c r="F16" s="2" t="s">
        <v>7</v>
      </c>
      <c r="G16" s="3" t="s">
        <v>126</v>
      </c>
      <c r="H16" s="3"/>
      <c r="I16" s="3"/>
      <c r="J16" s="3"/>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ht="30.75" customHeight="1">
      <c r="A19" s="1"/>
      <c r="B19" s="17" t="s">
        <v>8</v>
      </c>
      <c r="C19" s="17"/>
      <c r="D19" s="17"/>
      <c r="E19" s="17"/>
      <c r="F19" s="17"/>
      <c r="G19" s="17"/>
      <c r="H19" s="17"/>
      <c r="I19" s="17"/>
      <c r="J19" s="17"/>
      <c r="K19" s="1"/>
    </row>
    <row r="20" spans="1:11" ht="31.95" customHeight="1">
      <c r="A20" s="1"/>
      <c r="B20" s="29" t="s">
        <v>9</v>
      </c>
      <c r="C20" s="29"/>
      <c r="D20" s="29"/>
      <c r="E20" s="29"/>
      <c r="F20" s="29"/>
      <c r="G20" s="29"/>
      <c r="H20" s="29"/>
      <c r="I20" s="29"/>
      <c r="J20" s="29"/>
      <c r="K20" s="1"/>
    </row>
    <row r="21" spans="1:11" ht="31.95" customHeight="1">
      <c r="A21" s="1"/>
      <c r="B21" s="29" t="s">
        <v>10</v>
      </c>
      <c r="C21" s="29"/>
      <c r="D21" s="29"/>
      <c r="E21" s="29"/>
      <c r="F21" s="29"/>
      <c r="G21" s="29"/>
      <c r="H21" s="29"/>
      <c r="I21" s="29"/>
      <c r="J21" s="29"/>
      <c r="K21" s="1"/>
    </row>
    <row r="22" spans="1:11" ht="31.95" customHeight="1">
      <c r="A22" s="1"/>
      <c r="B22" s="29" t="s">
        <v>11</v>
      </c>
      <c r="C22" s="29"/>
      <c r="D22" s="29"/>
      <c r="E22" s="29"/>
      <c r="F22" s="29"/>
      <c r="G22" s="29"/>
      <c r="H22" s="29"/>
      <c r="I22" s="29"/>
      <c r="J22" s="29"/>
      <c r="K22" s="1"/>
    </row>
    <row r="23" spans="1:11" ht="31.95" customHeight="1">
      <c r="A23" s="1"/>
      <c r="B23" s="29" t="s">
        <v>12</v>
      </c>
      <c r="C23" s="29"/>
      <c r="D23" s="29"/>
      <c r="E23" s="29"/>
      <c r="F23" s="29"/>
      <c r="G23" s="29"/>
      <c r="H23" s="29"/>
      <c r="I23" s="29"/>
      <c r="J23" s="29"/>
      <c r="K23" s="1"/>
    </row>
    <row r="24" spans="1:11" ht="31.95" customHeight="1">
      <c r="A24" s="1"/>
      <c r="B24" s="29" t="s">
        <v>124</v>
      </c>
      <c r="C24" s="29"/>
      <c r="D24" s="29"/>
      <c r="E24" s="29"/>
      <c r="F24" s="29"/>
      <c r="G24" s="29"/>
      <c r="H24" s="29"/>
      <c r="I24" s="29"/>
      <c r="J24" s="29"/>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17" t="s">
        <v>13</v>
      </c>
      <c r="C27" s="17"/>
      <c r="D27" s="17"/>
      <c r="E27" s="17"/>
      <c r="F27" s="17"/>
      <c r="G27" s="17"/>
      <c r="H27" s="17"/>
      <c r="I27" s="17"/>
      <c r="J27" s="17"/>
      <c r="K27" s="1"/>
    </row>
    <row r="28" spans="1:11">
      <c r="A28" s="1"/>
      <c r="B28" s="1"/>
      <c r="C28" s="1"/>
      <c r="D28" s="1"/>
      <c r="E28" s="1"/>
      <c r="F28" s="1"/>
      <c r="G28" s="1"/>
      <c r="H28" s="1"/>
      <c r="I28" s="1"/>
      <c r="J28" s="1"/>
      <c r="K28" s="1"/>
    </row>
    <row r="29" spans="1:11">
      <c r="A29" s="1"/>
      <c r="B29" s="25" t="s">
        <v>14</v>
      </c>
      <c r="C29" s="25"/>
      <c r="D29" s="25"/>
      <c r="E29" s="25" t="s">
        <v>15</v>
      </c>
      <c r="F29" s="25"/>
      <c r="G29" s="25"/>
      <c r="H29" s="25" t="s">
        <v>16</v>
      </c>
      <c r="I29" s="25"/>
      <c r="J29" s="25"/>
      <c r="K29" s="1"/>
    </row>
    <row r="30" spans="1:11">
      <c r="A30" s="1"/>
      <c r="B30" s="25"/>
      <c r="C30" s="25"/>
      <c r="D30" s="25"/>
      <c r="E30" s="25"/>
      <c r="F30" s="25"/>
      <c r="G30" s="25"/>
      <c r="H30" s="25"/>
      <c r="I30" s="25"/>
      <c r="J30" s="25"/>
      <c r="K30" s="1"/>
    </row>
    <row r="31" spans="1:11">
      <c r="A31" s="1"/>
      <c r="B31" s="25"/>
      <c r="C31" s="25"/>
      <c r="D31" s="25"/>
      <c r="E31" s="25"/>
      <c r="F31" s="25"/>
      <c r="G31" s="25"/>
      <c r="H31" s="25"/>
      <c r="I31" s="25"/>
      <c r="J31" s="25"/>
      <c r="K31" s="1"/>
    </row>
    <row r="32" spans="1:11">
      <c r="A32" s="1"/>
      <c r="B32" s="25"/>
      <c r="C32" s="25"/>
      <c r="D32" s="25"/>
      <c r="E32" s="25"/>
      <c r="F32" s="25"/>
      <c r="G32" s="25"/>
      <c r="H32" s="25"/>
      <c r="I32" s="25"/>
      <c r="J32" s="25"/>
      <c r="K32" s="1"/>
    </row>
    <row r="33" spans="1:11">
      <c r="A33" s="1"/>
      <c r="B33" s="1"/>
      <c r="C33" s="1"/>
      <c r="D33" s="1"/>
      <c r="E33" s="1"/>
      <c r="F33" s="1"/>
      <c r="G33" s="1"/>
      <c r="H33" s="1"/>
      <c r="I33" s="1"/>
      <c r="J33" s="1"/>
      <c r="K33" s="1"/>
    </row>
    <row r="34" spans="1:11">
      <c r="A34" s="1"/>
      <c r="B34" s="25" t="s">
        <v>17</v>
      </c>
      <c r="C34" s="25"/>
      <c r="D34" s="25"/>
      <c r="E34" s="25"/>
      <c r="F34" s="26" t="s">
        <v>18</v>
      </c>
      <c r="G34" s="26"/>
      <c r="H34" s="26"/>
      <c r="I34" s="26"/>
      <c r="J34" s="26"/>
      <c r="K34" s="1"/>
    </row>
    <row r="35" spans="1:11">
      <c r="A35" s="1"/>
      <c r="B35" s="25"/>
      <c r="C35" s="25"/>
      <c r="D35" s="25"/>
      <c r="E35" s="25"/>
      <c r="F35" s="26"/>
      <c r="G35" s="26"/>
      <c r="H35" s="26"/>
      <c r="I35" s="26"/>
      <c r="J35" s="26"/>
      <c r="K35" s="1"/>
    </row>
    <row r="36" spans="1:11">
      <c r="A36" s="1"/>
      <c r="B36" s="25"/>
      <c r="C36" s="25"/>
      <c r="D36" s="25"/>
      <c r="E36" s="25"/>
      <c r="F36" s="26"/>
      <c r="G36" s="26"/>
      <c r="H36" s="26"/>
      <c r="I36" s="26"/>
      <c r="J36" s="26"/>
      <c r="K36" s="1"/>
    </row>
    <row r="37" spans="1:11">
      <c r="A37" s="1"/>
      <c r="B37" s="25"/>
      <c r="C37" s="25"/>
      <c r="D37" s="25"/>
      <c r="E37" s="25"/>
      <c r="F37" s="26"/>
      <c r="G37" s="26"/>
      <c r="H37" s="26"/>
      <c r="I37" s="26"/>
      <c r="J37" s="26"/>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ht="30.75" customHeight="1">
      <c r="A40" s="1"/>
      <c r="B40" s="17" t="s">
        <v>19</v>
      </c>
      <c r="C40" s="17"/>
      <c r="D40" s="17"/>
      <c r="E40" s="17"/>
      <c r="F40" s="17"/>
      <c r="G40" s="17"/>
      <c r="H40" s="17"/>
      <c r="I40" s="17"/>
      <c r="J40" s="17"/>
      <c r="K40" s="1"/>
    </row>
    <row r="41" spans="1:11">
      <c r="A41" s="1"/>
      <c r="B41" s="27" t="s">
        <v>20</v>
      </c>
      <c r="C41" s="27"/>
      <c r="D41" s="27"/>
      <c r="E41" s="16" t="s">
        <v>21</v>
      </c>
      <c r="F41" s="16"/>
      <c r="G41" s="16"/>
      <c r="H41" s="28" t="s">
        <v>22</v>
      </c>
      <c r="I41" s="28"/>
      <c r="J41" s="28"/>
      <c r="K41" s="1"/>
    </row>
    <row r="42" spans="1:11">
      <c r="A42" s="1"/>
      <c r="B42" s="27"/>
      <c r="C42" s="27"/>
      <c r="D42" s="27"/>
      <c r="E42" s="16"/>
      <c r="F42" s="16"/>
      <c r="G42" s="16"/>
      <c r="H42" s="28"/>
      <c r="I42" s="28"/>
      <c r="J42" s="28"/>
      <c r="K42" s="1"/>
    </row>
    <row r="43" spans="1:11">
      <c r="A43" s="1"/>
      <c r="B43" s="27"/>
      <c r="C43" s="27"/>
      <c r="D43" s="27"/>
      <c r="E43" s="16"/>
      <c r="F43" s="16"/>
      <c r="G43" s="16"/>
      <c r="H43" s="28"/>
      <c r="I43" s="28"/>
      <c r="J43" s="28"/>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22">
    <mergeCell ref="C14:E14"/>
    <mergeCell ref="B2:J3"/>
    <mergeCell ref="B4:J4"/>
    <mergeCell ref="B5:J5"/>
    <mergeCell ref="B8:J10"/>
    <mergeCell ref="B13:J13"/>
    <mergeCell ref="B19:J19"/>
    <mergeCell ref="B20:J20"/>
    <mergeCell ref="B21:J21"/>
    <mergeCell ref="B22:J22"/>
    <mergeCell ref="B23:J23"/>
    <mergeCell ref="B24:J24"/>
    <mergeCell ref="B27:J27"/>
    <mergeCell ref="B29:D32"/>
    <mergeCell ref="E29:G32"/>
    <mergeCell ref="H29:J32"/>
    <mergeCell ref="B34:E37"/>
    <mergeCell ref="F34:J37"/>
    <mergeCell ref="B40:J40"/>
    <mergeCell ref="B41:D43"/>
    <mergeCell ref="E41:G43"/>
    <mergeCell ref="H41:J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showGridLines="0" topLeftCell="A25" workbookViewId="0">
      <selection activeCell="B42" sqref="B42:J46"/>
    </sheetView>
  </sheetViews>
  <sheetFormatPr baseColWidth="10" defaultColWidth="8.796875" defaultRowHeight="13.8"/>
  <cols>
    <col min="1" max="1" width="3" customWidth="1"/>
    <col min="2" max="2" width="29" customWidth="1"/>
    <col min="3" max="3" width="16" customWidth="1"/>
    <col min="4" max="4" width="18" customWidth="1"/>
    <col min="5" max="5" width="17" customWidth="1"/>
    <col min="6" max="6" width="18" customWidth="1"/>
    <col min="7" max="7" width="4" customWidth="1"/>
    <col min="8" max="10" width="22" customWidth="1"/>
    <col min="11" max="11" width="3" customWidth="1"/>
  </cols>
  <sheetData>
    <row r="1" spans="1:11">
      <c r="A1" s="1"/>
      <c r="B1" s="1"/>
      <c r="C1" s="1"/>
      <c r="D1" s="1"/>
      <c r="E1" s="1"/>
      <c r="F1" s="1"/>
      <c r="G1" s="1"/>
      <c r="H1" s="1"/>
      <c r="I1" s="1"/>
      <c r="J1" s="1"/>
      <c r="K1" s="1"/>
    </row>
    <row r="2" spans="1:11" ht="45.3" customHeight="1">
      <c r="A2" s="1"/>
      <c r="B2" s="20" t="s">
        <v>23</v>
      </c>
      <c r="C2" s="20"/>
      <c r="D2" s="20"/>
      <c r="E2" s="20"/>
      <c r="F2" s="20"/>
      <c r="G2" s="20"/>
      <c r="H2" s="20"/>
      <c r="I2" s="20"/>
      <c r="J2" s="20"/>
      <c r="K2" s="1"/>
    </row>
    <row r="3" spans="1:11" ht="30.75" customHeight="1">
      <c r="A3" s="1"/>
      <c r="B3" s="21" t="s">
        <v>24</v>
      </c>
      <c r="C3" s="21"/>
      <c r="D3" s="21"/>
      <c r="E3" s="21"/>
      <c r="F3" s="21"/>
      <c r="G3" s="21"/>
      <c r="H3" s="21"/>
      <c r="I3" s="21"/>
      <c r="J3" s="21"/>
      <c r="K3" s="1"/>
    </row>
    <row r="4" spans="1:11" ht="6.75" customHeight="1">
      <c r="A4" s="1"/>
      <c r="B4" s="22"/>
      <c r="C4" s="22"/>
      <c r="D4" s="22"/>
      <c r="E4" s="22"/>
      <c r="F4" s="22"/>
      <c r="G4" s="22"/>
      <c r="H4" s="22"/>
      <c r="I4" s="22"/>
      <c r="J4" s="22"/>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7" t="s">
        <v>25</v>
      </c>
      <c r="C7" s="17"/>
      <c r="D7" s="17"/>
      <c r="E7" s="17"/>
      <c r="F7" s="17"/>
      <c r="G7" s="1"/>
      <c r="H7" s="1"/>
      <c r="I7" s="1"/>
      <c r="J7" s="1"/>
      <c r="K7" s="1"/>
    </row>
    <row r="8" spans="1:11" ht="37.200000000000003" customHeight="1">
      <c r="A8" s="1"/>
      <c r="B8" s="4" t="s">
        <v>26</v>
      </c>
      <c r="C8" s="4" t="s">
        <v>27</v>
      </c>
      <c r="D8" s="4" t="s">
        <v>28</v>
      </c>
      <c r="E8" s="4" t="s">
        <v>29</v>
      </c>
      <c r="F8" s="4" t="s">
        <v>30</v>
      </c>
      <c r="G8" s="1"/>
      <c r="H8" s="1"/>
      <c r="I8" s="1"/>
      <c r="J8" s="1"/>
      <c r="K8" s="1"/>
    </row>
    <row r="9" spans="1:11">
      <c r="A9" s="1"/>
      <c r="B9" s="5" t="s">
        <v>31</v>
      </c>
      <c r="C9" s="6">
        <v>1650</v>
      </c>
      <c r="D9" s="6">
        <v>620</v>
      </c>
      <c r="E9" s="7">
        <f>+C9-D9</f>
        <v>1030</v>
      </c>
      <c r="F9" s="8">
        <f>(E9/$E$13)*1</f>
        <v>0.2536945812807882</v>
      </c>
      <c r="G9" s="1"/>
      <c r="H9" s="1"/>
      <c r="I9" s="1"/>
      <c r="J9" s="1"/>
      <c r="K9" s="1"/>
    </row>
    <row r="10" spans="1:11">
      <c r="A10" s="1"/>
      <c r="B10" s="5" t="s">
        <v>32</v>
      </c>
      <c r="C10" s="6">
        <v>2900</v>
      </c>
      <c r="D10" s="6">
        <v>1750</v>
      </c>
      <c r="E10" s="7">
        <f t="shared" ref="E10:E12" si="0">+C10-D10</f>
        <v>1150</v>
      </c>
      <c r="F10" s="8">
        <f>(E10/$E$13)*1</f>
        <v>0.28325123152709358</v>
      </c>
      <c r="G10" s="1"/>
      <c r="H10" s="1"/>
      <c r="I10" s="1"/>
      <c r="J10" s="1"/>
      <c r="K10" s="1"/>
    </row>
    <row r="11" spans="1:11">
      <c r="A11" s="1"/>
      <c r="B11" s="5" t="s">
        <v>33</v>
      </c>
      <c r="C11" s="6">
        <v>1250</v>
      </c>
      <c r="D11" s="6">
        <v>720</v>
      </c>
      <c r="E11" s="7">
        <f t="shared" si="0"/>
        <v>530</v>
      </c>
      <c r="F11" s="8">
        <f t="shared" ref="F11:F12" si="1">(E11/$E$13)*1</f>
        <v>0.13054187192118227</v>
      </c>
      <c r="G11" s="1"/>
      <c r="H11" s="1"/>
      <c r="I11" s="1"/>
      <c r="J11" s="1"/>
      <c r="K11" s="1"/>
    </row>
    <row r="12" spans="1:11">
      <c r="A12" s="1"/>
      <c r="B12" s="5" t="s">
        <v>34</v>
      </c>
      <c r="C12" s="6">
        <v>2400</v>
      </c>
      <c r="D12" s="6">
        <v>1050</v>
      </c>
      <c r="E12" s="7">
        <f t="shared" si="0"/>
        <v>1350</v>
      </c>
      <c r="F12" s="8">
        <f t="shared" si="1"/>
        <v>0.33251231527093594</v>
      </c>
      <c r="G12" s="1"/>
      <c r="H12" s="1"/>
      <c r="I12" s="1"/>
      <c r="J12" s="1"/>
      <c r="K12" s="1"/>
    </row>
    <row r="13" spans="1:11" s="38" customFormat="1">
      <c r="A13" s="37"/>
      <c r="B13" s="37" t="s">
        <v>127</v>
      </c>
      <c r="C13" s="39">
        <f>SUM(C9:C12)</f>
        <v>8200</v>
      </c>
      <c r="D13" s="39">
        <f t="shared" ref="D13:F13" si="2">SUM(D9:D12)</f>
        <v>4140</v>
      </c>
      <c r="E13" s="39">
        <f t="shared" si="2"/>
        <v>4060</v>
      </c>
      <c r="F13" s="39">
        <f t="shared" si="2"/>
        <v>1</v>
      </c>
      <c r="G13" s="37"/>
      <c r="H13" s="37"/>
      <c r="I13" s="37"/>
      <c r="J13" s="37"/>
      <c r="K13" s="37"/>
    </row>
    <row r="14" spans="1:11">
      <c r="A14" s="1"/>
      <c r="B14" s="1"/>
      <c r="C14" s="1"/>
      <c r="D14" s="1"/>
      <c r="E14" s="1"/>
      <c r="F14" s="1"/>
      <c r="G14" s="1"/>
      <c r="H14" s="1"/>
      <c r="I14" s="1"/>
      <c r="J14" s="1"/>
      <c r="K14" s="1"/>
    </row>
    <row r="15" spans="1:11" ht="30.75" customHeight="1">
      <c r="A15" s="1"/>
      <c r="B15" s="17" t="s">
        <v>35</v>
      </c>
      <c r="C15" s="17"/>
      <c r="D15" s="17"/>
      <c r="E15" s="17"/>
      <c r="F15" s="17"/>
      <c r="G15" s="1"/>
      <c r="H15" s="1"/>
      <c r="I15" s="1"/>
      <c r="J15" s="1"/>
      <c r="K15" s="1"/>
    </row>
    <row r="16" spans="1:11">
      <c r="A16" s="1"/>
      <c r="B16" s="5" t="s">
        <v>36</v>
      </c>
      <c r="C16" s="6">
        <v>420</v>
      </c>
      <c r="D16" s="1"/>
      <c r="E16" s="1"/>
      <c r="F16" s="1"/>
      <c r="G16" s="1"/>
      <c r="H16" s="1"/>
      <c r="I16" s="1"/>
      <c r="J16" s="1"/>
      <c r="K16" s="1"/>
    </row>
    <row r="17" spans="1:11">
      <c r="A17" s="1"/>
      <c r="B17" s="5" t="s">
        <v>37</v>
      </c>
      <c r="C17" s="6">
        <v>40</v>
      </c>
      <c r="D17" s="1"/>
      <c r="E17" s="1"/>
      <c r="F17" s="1"/>
      <c r="G17" s="1"/>
      <c r="H17" s="1"/>
      <c r="I17" s="1"/>
      <c r="J17" s="1"/>
      <c r="K17" s="1"/>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ht="30.75" customHeight="1">
      <c r="A20" s="1"/>
      <c r="B20" s="17" t="s">
        <v>38</v>
      </c>
      <c r="C20" s="17"/>
      <c r="D20" s="17"/>
      <c r="E20" s="17"/>
      <c r="F20" s="17"/>
      <c r="G20" s="17"/>
      <c r="H20" s="1"/>
      <c r="I20" s="1"/>
      <c r="J20" s="1"/>
      <c r="K20" s="1"/>
    </row>
    <row r="21" spans="1:11" ht="33.299999999999997" customHeight="1">
      <c r="A21" s="1"/>
      <c r="B21" s="19" t="s">
        <v>39</v>
      </c>
      <c r="C21" s="19"/>
      <c r="D21" s="19"/>
      <c r="E21" s="40">
        <f>+E13</f>
        <v>4060</v>
      </c>
      <c r="F21" s="15"/>
      <c r="G21" s="15"/>
      <c r="H21" s="1"/>
      <c r="I21" s="1"/>
      <c r="J21" s="1"/>
      <c r="K21" s="1"/>
    </row>
    <row r="22" spans="1:11">
      <c r="A22" s="1"/>
      <c r="B22" s="1"/>
      <c r="C22" s="1"/>
      <c r="D22" s="1"/>
      <c r="E22" s="1"/>
      <c r="F22" s="1"/>
      <c r="G22" s="1"/>
      <c r="H22" s="1"/>
      <c r="I22" s="1"/>
      <c r="J22" s="1"/>
      <c r="K22" s="1"/>
    </row>
    <row r="23" spans="1:11" ht="33.299999999999997" customHeight="1">
      <c r="A23" s="1"/>
      <c r="B23" s="19" t="s">
        <v>40</v>
      </c>
      <c r="C23" s="19"/>
      <c r="D23" s="19"/>
      <c r="E23" s="40">
        <f>+C16-C17</f>
        <v>380</v>
      </c>
      <c r="F23" s="15"/>
      <c r="G23" s="15"/>
      <c r="H23" s="1"/>
      <c r="I23" s="1"/>
      <c r="J23" s="1"/>
      <c r="K23" s="1"/>
    </row>
    <row r="24" spans="1:11">
      <c r="A24" s="1"/>
      <c r="B24" s="1"/>
      <c r="C24" s="1"/>
      <c r="D24" s="1"/>
      <c r="E24" s="1"/>
      <c r="F24" s="1"/>
      <c r="G24" s="1"/>
      <c r="H24" s="1"/>
      <c r="I24" s="1"/>
      <c r="J24" s="1"/>
      <c r="K24" s="1"/>
    </row>
    <row r="25" spans="1:11" ht="33.299999999999997" customHeight="1">
      <c r="A25" s="1"/>
      <c r="B25" s="19" t="s">
        <v>41</v>
      </c>
      <c r="C25" s="19"/>
      <c r="D25" s="19"/>
      <c r="E25" s="40">
        <f>+E21+E23</f>
        <v>4440</v>
      </c>
      <c r="F25" s="15"/>
      <c r="G25" s="15"/>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7" t="s">
        <v>42</v>
      </c>
      <c r="C28" s="17"/>
      <c r="D28" s="17"/>
      <c r="E28" s="17"/>
      <c r="F28" s="17"/>
      <c r="G28" s="17"/>
      <c r="H28" s="1"/>
      <c r="I28" s="1"/>
      <c r="J28" s="1"/>
      <c r="K28" s="1"/>
    </row>
    <row r="29" spans="1:11">
      <c r="A29" s="1"/>
      <c r="B29" s="18" t="s">
        <v>128</v>
      </c>
      <c r="C29" s="18"/>
      <c r="D29" s="18"/>
      <c r="E29" s="18"/>
      <c r="F29" s="18"/>
      <c r="G29" s="18"/>
      <c r="H29" s="1"/>
      <c r="I29" s="1"/>
      <c r="J29" s="1"/>
      <c r="K29" s="1"/>
    </row>
    <row r="30" spans="1:11">
      <c r="A30" s="1"/>
      <c r="B30" s="18"/>
      <c r="C30" s="18"/>
      <c r="D30" s="18"/>
      <c r="E30" s="18"/>
      <c r="F30" s="18"/>
      <c r="G30" s="18"/>
      <c r="H30" s="1"/>
      <c r="I30" s="1"/>
      <c r="J30" s="1"/>
      <c r="K30" s="1"/>
    </row>
    <row r="31" spans="1:11">
      <c r="A31" s="1"/>
      <c r="B31" s="18"/>
      <c r="C31" s="18"/>
      <c r="D31" s="18"/>
      <c r="E31" s="18"/>
      <c r="F31" s="18"/>
      <c r="G31" s="18"/>
      <c r="H31" s="1"/>
      <c r="I31" s="1"/>
      <c r="J31" s="1"/>
      <c r="K31" s="1"/>
    </row>
    <row r="32" spans="1:11">
      <c r="A32" s="1"/>
      <c r="B32" s="18"/>
      <c r="C32" s="18"/>
      <c r="D32" s="18"/>
      <c r="E32" s="18"/>
      <c r="F32" s="18"/>
      <c r="G32" s="18"/>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12" t="s">
        <v>43</v>
      </c>
      <c r="C35" s="12"/>
      <c r="D35" s="12"/>
      <c r="E35" s="12"/>
      <c r="F35" s="12"/>
      <c r="G35" s="12"/>
      <c r="H35" s="12"/>
      <c r="I35" s="12"/>
      <c r="J35" s="12"/>
      <c r="K35" s="1"/>
    </row>
    <row r="36" spans="1:11">
      <c r="A36" s="1"/>
      <c r="B36" s="13" t="s">
        <v>44</v>
      </c>
      <c r="C36" s="13"/>
      <c r="D36" s="13"/>
      <c r="E36" s="13"/>
      <c r="F36" s="13"/>
      <c r="G36" s="13"/>
      <c r="H36" s="13"/>
      <c r="I36" s="13"/>
      <c r="J36" s="13"/>
      <c r="K36" s="1"/>
    </row>
    <row r="37" spans="1:11">
      <c r="A37" s="1"/>
      <c r="B37" s="13"/>
      <c r="C37" s="13"/>
      <c r="D37" s="13"/>
      <c r="E37" s="13"/>
      <c r="F37" s="13"/>
      <c r="G37" s="13"/>
      <c r="H37" s="13"/>
      <c r="I37" s="13"/>
      <c r="J37" s="13"/>
      <c r="K37" s="1"/>
    </row>
    <row r="38" spans="1:11">
      <c r="A38" s="1"/>
      <c r="B38" s="13"/>
      <c r="C38" s="13"/>
      <c r="D38" s="13"/>
      <c r="E38" s="13"/>
      <c r="F38" s="13"/>
      <c r="G38" s="13"/>
      <c r="H38" s="13"/>
      <c r="I38" s="13"/>
      <c r="J38" s="13"/>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thickBot="1">
      <c r="A41" s="1"/>
      <c r="B41" s="14" t="s">
        <v>45</v>
      </c>
      <c r="C41" s="14"/>
      <c r="D41" s="14"/>
      <c r="E41" s="14"/>
      <c r="F41" s="14"/>
      <c r="G41" s="14"/>
      <c r="H41" s="14"/>
      <c r="I41" s="14"/>
      <c r="J41" s="14"/>
      <c r="K41" s="1"/>
    </row>
    <row r="42" spans="1:11" ht="31.95" customHeight="1">
      <c r="A42" s="1"/>
      <c r="B42" s="41" t="s">
        <v>129</v>
      </c>
      <c r="C42" s="42"/>
      <c r="D42" s="42"/>
      <c r="E42" s="42"/>
      <c r="F42" s="42"/>
      <c r="G42" s="42"/>
      <c r="H42" s="42"/>
      <c r="I42" s="42"/>
      <c r="J42" s="43"/>
      <c r="K42" s="1"/>
    </row>
    <row r="43" spans="1:11" ht="31.95" customHeight="1">
      <c r="A43" s="1"/>
      <c r="B43" s="44"/>
      <c r="C43" s="45"/>
      <c r="D43" s="45"/>
      <c r="E43" s="45"/>
      <c r="F43" s="45"/>
      <c r="G43" s="45"/>
      <c r="H43" s="45"/>
      <c r="I43" s="45"/>
      <c r="J43" s="46"/>
      <c r="K43" s="1"/>
    </row>
    <row r="44" spans="1:11" ht="31.95" customHeight="1">
      <c r="A44" s="1"/>
      <c r="B44" s="44"/>
      <c r="C44" s="45"/>
      <c r="D44" s="45"/>
      <c r="E44" s="45"/>
      <c r="F44" s="45"/>
      <c r="G44" s="45"/>
      <c r="H44" s="45"/>
      <c r="I44" s="45"/>
      <c r="J44" s="46"/>
      <c r="K44" s="1"/>
    </row>
    <row r="45" spans="1:11" ht="31.95" customHeight="1">
      <c r="A45" s="1"/>
      <c r="B45" s="44"/>
      <c r="C45" s="45"/>
      <c r="D45" s="45"/>
      <c r="E45" s="45"/>
      <c r="F45" s="45"/>
      <c r="G45" s="45"/>
      <c r="H45" s="45"/>
      <c r="I45" s="45"/>
      <c r="J45" s="46"/>
      <c r="K45" s="1"/>
    </row>
    <row r="46" spans="1:11" ht="31.95" customHeight="1" thickBot="1">
      <c r="A46" s="1"/>
      <c r="B46" s="47"/>
      <c r="C46" s="48"/>
      <c r="D46" s="48"/>
      <c r="E46" s="48"/>
      <c r="F46" s="48"/>
      <c r="G46" s="48"/>
      <c r="H46" s="48"/>
      <c r="I46" s="48"/>
      <c r="J46" s="49"/>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sheetData>
  <mergeCells count="18">
    <mergeCell ref="B2:J2"/>
    <mergeCell ref="B3:J3"/>
    <mergeCell ref="B4:J4"/>
    <mergeCell ref="B7:F7"/>
    <mergeCell ref="B15:F15"/>
    <mergeCell ref="B20:G20"/>
    <mergeCell ref="B21:D21"/>
    <mergeCell ref="E21:G21"/>
    <mergeCell ref="B23:D23"/>
    <mergeCell ref="E23:G23"/>
    <mergeCell ref="B36:J38"/>
    <mergeCell ref="B41:J41"/>
    <mergeCell ref="B42:J46"/>
    <mergeCell ref="B25:D25"/>
    <mergeCell ref="E25:G25"/>
    <mergeCell ref="B28:G28"/>
    <mergeCell ref="B29:G32"/>
    <mergeCell ref="B35:J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1"/>
  <sheetViews>
    <sheetView showGridLines="0" topLeftCell="A28" workbookViewId="0">
      <selection activeCell="C49" sqref="C49"/>
    </sheetView>
  </sheetViews>
  <sheetFormatPr baseColWidth="10" defaultColWidth="8.796875" defaultRowHeight="13.8"/>
  <cols>
    <col min="1" max="1" width="3" customWidth="1"/>
    <col min="2" max="2" width="37" customWidth="1"/>
    <col min="3" max="3" width="18" customWidth="1"/>
    <col min="4" max="4" width="4" customWidth="1"/>
    <col min="5" max="7" width="20" customWidth="1"/>
    <col min="8" max="8" width="4" customWidth="1"/>
    <col min="9" max="11" width="3" customWidth="1"/>
  </cols>
  <sheetData>
    <row r="1" spans="1:11">
      <c r="A1" s="1"/>
      <c r="B1" s="1"/>
      <c r="C1" s="1"/>
      <c r="D1" s="1"/>
      <c r="E1" s="1"/>
      <c r="F1" s="1"/>
      <c r="G1" s="1"/>
      <c r="H1" s="1"/>
      <c r="I1" s="1"/>
      <c r="J1" s="1"/>
      <c r="K1" s="1"/>
    </row>
    <row r="2" spans="1:11" ht="45.3" customHeight="1">
      <c r="A2" s="1"/>
      <c r="B2" s="20" t="s">
        <v>46</v>
      </c>
      <c r="C2" s="20"/>
      <c r="D2" s="20"/>
      <c r="E2" s="20"/>
      <c r="F2" s="20"/>
      <c r="G2" s="20"/>
      <c r="H2" s="1"/>
      <c r="I2" s="1"/>
      <c r="J2" s="1"/>
      <c r="K2" s="1"/>
    </row>
    <row r="3" spans="1:11" ht="30.75" customHeight="1">
      <c r="A3" s="1"/>
      <c r="B3" s="21" t="s">
        <v>47</v>
      </c>
      <c r="C3" s="21"/>
      <c r="D3" s="21"/>
      <c r="E3" s="21"/>
      <c r="F3" s="21"/>
      <c r="G3" s="21"/>
      <c r="H3" s="1"/>
      <c r="I3" s="1"/>
      <c r="J3" s="1"/>
      <c r="K3" s="1"/>
    </row>
    <row r="4" spans="1:11" ht="6.75" customHeight="1">
      <c r="A4" s="1"/>
      <c r="B4" s="22"/>
      <c r="C4" s="22"/>
      <c r="D4" s="22"/>
      <c r="E4" s="22"/>
      <c r="F4" s="22"/>
      <c r="G4" s="22"/>
      <c r="H4" s="1"/>
      <c r="I4" s="1"/>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7" t="s">
        <v>48</v>
      </c>
      <c r="C7" s="17"/>
      <c r="D7" s="1"/>
      <c r="E7" s="1"/>
      <c r="F7" s="1"/>
      <c r="G7" s="1"/>
      <c r="H7" s="1"/>
      <c r="I7" s="1"/>
      <c r="J7" s="1"/>
      <c r="K7" s="1"/>
    </row>
    <row r="8" spans="1:11" ht="37.200000000000003" customHeight="1">
      <c r="A8" s="1"/>
      <c r="B8" s="4" t="s">
        <v>49</v>
      </c>
      <c r="C8" s="4" t="s">
        <v>50</v>
      </c>
      <c r="D8" s="1"/>
      <c r="E8" s="1"/>
      <c r="F8" s="1"/>
      <c r="G8" s="1"/>
      <c r="H8" s="1"/>
      <c r="I8" s="1"/>
      <c r="J8" s="1"/>
      <c r="K8" s="1"/>
    </row>
    <row r="9" spans="1:11">
      <c r="A9" s="1"/>
      <c r="B9" s="5" t="s">
        <v>51</v>
      </c>
      <c r="C9" s="9">
        <v>5100</v>
      </c>
      <c r="D9" s="1"/>
      <c r="E9" s="1"/>
      <c r="F9" s="1"/>
      <c r="G9" s="1"/>
      <c r="H9" s="1"/>
      <c r="I9" s="1"/>
      <c r="J9" s="1"/>
      <c r="K9" s="1"/>
    </row>
    <row r="10" spans="1:11">
      <c r="A10" s="1"/>
      <c r="B10" s="5" t="s">
        <v>52</v>
      </c>
      <c r="C10" s="9">
        <v>1150</v>
      </c>
      <c r="D10" s="1"/>
      <c r="E10" s="1"/>
      <c r="F10" s="1"/>
      <c r="G10" s="1"/>
      <c r="H10" s="1"/>
      <c r="I10" s="1"/>
      <c r="J10" s="1"/>
      <c r="K10" s="1"/>
    </row>
    <row r="11" spans="1:11">
      <c r="A11" s="1"/>
      <c r="B11" s="5" t="s">
        <v>53</v>
      </c>
      <c r="C11" s="9">
        <v>1700</v>
      </c>
      <c r="D11" s="1"/>
      <c r="E11" s="1"/>
      <c r="F11" s="1"/>
      <c r="G11" s="1"/>
      <c r="H11" s="1"/>
      <c r="I11" s="1"/>
      <c r="J11" s="1"/>
      <c r="K11" s="1"/>
    </row>
    <row r="12" spans="1:11">
      <c r="A12" s="1"/>
      <c r="B12" s="5" t="s">
        <v>54</v>
      </c>
      <c r="C12" s="9">
        <v>-120</v>
      </c>
      <c r="D12" s="1"/>
      <c r="E12" s="1"/>
      <c r="F12" s="1"/>
      <c r="G12" s="1"/>
      <c r="H12" s="1"/>
      <c r="I12" s="1"/>
      <c r="J12" s="1"/>
      <c r="K12" s="1"/>
    </row>
    <row r="13" spans="1:11">
      <c r="A13" s="1"/>
      <c r="B13" s="5" t="s">
        <v>55</v>
      </c>
      <c r="C13" s="9">
        <v>1250</v>
      </c>
      <c r="D13" s="1"/>
      <c r="E13" s="1"/>
      <c r="F13" s="1"/>
      <c r="G13" s="1"/>
      <c r="H13" s="1"/>
      <c r="I13" s="1"/>
      <c r="J13" s="1"/>
      <c r="K13" s="1"/>
    </row>
    <row r="14" spans="1:11">
      <c r="A14" s="1"/>
      <c r="B14" s="5" t="s">
        <v>56</v>
      </c>
      <c r="C14" s="9">
        <v>1640</v>
      </c>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ht="30.75" customHeight="1">
      <c r="A17" s="1"/>
      <c r="B17" s="17" t="s">
        <v>57</v>
      </c>
      <c r="C17" s="17"/>
      <c r="D17" s="17"/>
      <c r="E17" s="17"/>
      <c r="F17" s="17"/>
      <c r="G17" s="17"/>
      <c r="H17" s="1"/>
      <c r="I17" s="1"/>
      <c r="J17" s="1"/>
      <c r="K17" s="1"/>
    </row>
    <row r="18" spans="1:11" ht="33.299999999999997" customHeight="1">
      <c r="A18" s="1"/>
      <c r="B18" s="19" t="s">
        <v>58</v>
      </c>
      <c r="C18" s="19"/>
      <c r="D18" s="19"/>
      <c r="E18" s="50">
        <f>+C11+C12</f>
        <v>1580</v>
      </c>
      <c r="F18" s="15"/>
      <c r="G18" s="15"/>
      <c r="H18" s="1"/>
      <c r="I18" s="1"/>
      <c r="J18" s="1"/>
      <c r="K18" s="1"/>
    </row>
    <row r="19" spans="1:11">
      <c r="A19" s="1"/>
      <c r="B19" s="1"/>
      <c r="C19" s="1"/>
      <c r="D19" s="1"/>
      <c r="E19" s="1"/>
      <c r="F19" s="1"/>
      <c r="G19" s="1"/>
      <c r="H19" s="1"/>
      <c r="I19" s="1"/>
      <c r="J19" s="1"/>
      <c r="K19" s="1"/>
    </row>
    <row r="20" spans="1:11" ht="33.299999999999997" customHeight="1">
      <c r="A20" s="1"/>
      <c r="B20" s="19" t="s">
        <v>59</v>
      </c>
      <c r="C20" s="19"/>
      <c r="D20" s="19"/>
      <c r="E20" s="50">
        <f>+C13-C14</f>
        <v>-390</v>
      </c>
      <c r="F20" s="15"/>
      <c r="G20" s="15"/>
      <c r="H20" s="1"/>
      <c r="I20" s="1"/>
      <c r="J20" s="1"/>
      <c r="K20" s="1"/>
    </row>
    <row r="21" spans="1:11">
      <c r="A21" s="1"/>
      <c r="B21" s="1"/>
      <c r="C21" s="1"/>
      <c r="D21" s="1"/>
      <c r="E21" s="1"/>
      <c r="F21" s="1"/>
      <c r="G21" s="1"/>
      <c r="H21" s="1"/>
      <c r="I21" s="1"/>
      <c r="J21" s="1"/>
      <c r="K21" s="1"/>
    </row>
    <row r="22" spans="1:11" ht="33.299999999999997" customHeight="1">
      <c r="A22" s="1"/>
      <c r="B22" s="19" t="s">
        <v>60</v>
      </c>
      <c r="C22" s="19"/>
      <c r="D22" s="19"/>
      <c r="E22" s="50">
        <f>+C9+C10</f>
        <v>6250</v>
      </c>
      <c r="F22" s="15"/>
      <c r="G22" s="15"/>
      <c r="H22" s="1"/>
      <c r="I22" s="1"/>
      <c r="J22" s="1"/>
      <c r="K22" s="1"/>
    </row>
    <row r="23" spans="1:11">
      <c r="A23" s="1"/>
      <c r="B23" s="1"/>
      <c r="C23" s="1"/>
      <c r="D23" s="1"/>
      <c r="E23" s="1"/>
      <c r="F23" s="1"/>
      <c r="G23" s="1"/>
      <c r="H23" s="1"/>
      <c r="I23" s="1"/>
      <c r="J23" s="1"/>
      <c r="K23" s="1"/>
    </row>
    <row r="24" spans="1:11" ht="33.299999999999997" customHeight="1">
      <c r="A24" s="1"/>
      <c r="B24" s="19" t="s">
        <v>61</v>
      </c>
      <c r="C24" s="19"/>
      <c r="D24" s="19"/>
      <c r="E24" s="50">
        <f>(C9+250)+C10+E18+E20</f>
        <v>7690</v>
      </c>
      <c r="F24" s="15"/>
      <c r="G24" s="15"/>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17" t="s">
        <v>42</v>
      </c>
      <c r="C27" s="17"/>
      <c r="D27" s="17"/>
      <c r="E27" s="17"/>
      <c r="F27" s="17"/>
      <c r="G27" s="17"/>
      <c r="H27" s="1"/>
      <c r="I27" s="1"/>
      <c r="J27" s="1"/>
      <c r="K27" s="1"/>
    </row>
    <row r="28" spans="1:11">
      <c r="A28" s="1"/>
      <c r="B28" s="18" t="s">
        <v>130</v>
      </c>
      <c r="C28" s="18"/>
      <c r="D28" s="18"/>
      <c r="E28" s="18"/>
      <c r="F28" s="18"/>
      <c r="G28" s="18"/>
      <c r="H28" s="1"/>
      <c r="I28" s="1"/>
      <c r="J28" s="1"/>
      <c r="K28" s="1"/>
    </row>
    <row r="29" spans="1:11">
      <c r="A29" s="1"/>
      <c r="B29" s="18"/>
      <c r="C29" s="18"/>
      <c r="D29" s="18"/>
      <c r="E29" s="18"/>
      <c r="F29" s="18"/>
      <c r="G29" s="18"/>
      <c r="H29" s="1"/>
      <c r="I29" s="1"/>
      <c r="J29" s="1"/>
      <c r="K29" s="1"/>
    </row>
    <row r="30" spans="1:11">
      <c r="A30" s="1"/>
      <c r="B30" s="18"/>
      <c r="C30" s="18"/>
      <c r="D30" s="18"/>
      <c r="E30" s="18"/>
      <c r="F30" s="18"/>
      <c r="G30" s="18"/>
      <c r="H30" s="1"/>
      <c r="I30" s="1"/>
      <c r="J30" s="1"/>
      <c r="K30" s="1"/>
    </row>
    <row r="31" spans="1:11">
      <c r="A31" s="1"/>
      <c r="B31" s="18"/>
      <c r="C31" s="18"/>
      <c r="D31" s="18"/>
      <c r="E31" s="18"/>
      <c r="F31" s="18"/>
      <c r="G31" s="18"/>
      <c r="H31" s="1"/>
      <c r="I31" s="1"/>
      <c r="J31" s="1"/>
      <c r="K31" s="1"/>
    </row>
    <row r="32" spans="1:11">
      <c r="A32" s="1"/>
      <c r="B32" s="18"/>
      <c r="C32" s="18"/>
      <c r="D32" s="18"/>
      <c r="E32" s="18"/>
      <c r="F32" s="18"/>
      <c r="G32" s="18"/>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12" t="s">
        <v>62</v>
      </c>
      <c r="C35" s="12"/>
      <c r="D35" s="12"/>
      <c r="E35" s="12"/>
      <c r="F35" s="12"/>
      <c r="G35" s="12"/>
      <c r="H35" s="1"/>
      <c r="I35" s="1"/>
      <c r="J35" s="1"/>
      <c r="K35" s="1"/>
    </row>
    <row r="36" spans="1:11">
      <c r="A36" s="1"/>
      <c r="B36" s="13" t="s">
        <v>63</v>
      </c>
      <c r="C36" s="13"/>
      <c r="D36" s="13"/>
      <c r="E36" s="13"/>
      <c r="F36" s="13"/>
      <c r="G36" s="13"/>
      <c r="H36" s="1"/>
      <c r="I36" s="1"/>
      <c r="J36" s="1"/>
      <c r="K36" s="1"/>
    </row>
    <row r="37" spans="1:11">
      <c r="A37" s="1"/>
      <c r="B37" s="13"/>
      <c r="C37" s="13"/>
      <c r="D37" s="13"/>
      <c r="E37" s="13"/>
      <c r="F37" s="13"/>
      <c r="G37" s="13"/>
      <c r="H37" s="1"/>
      <c r="I37" s="1"/>
      <c r="J37" s="1"/>
      <c r="K37" s="1"/>
    </row>
    <row r="38" spans="1:11">
      <c r="A38" s="1"/>
      <c r="B38" s="13"/>
      <c r="C38" s="13"/>
      <c r="D38" s="13"/>
      <c r="E38" s="13"/>
      <c r="F38" s="13"/>
      <c r="G38" s="13"/>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thickBot="1">
      <c r="A41" s="1"/>
      <c r="B41" s="14" t="s">
        <v>64</v>
      </c>
      <c r="C41" s="14"/>
      <c r="D41" s="14"/>
      <c r="E41" s="14"/>
      <c r="F41" s="14"/>
      <c r="G41" s="14"/>
      <c r="H41" s="1"/>
      <c r="I41" s="1"/>
      <c r="J41" s="1"/>
      <c r="K41" s="1"/>
    </row>
    <row r="42" spans="1:11" ht="31.95" customHeight="1">
      <c r="A42" s="1"/>
      <c r="B42" s="51" t="s">
        <v>131</v>
      </c>
      <c r="C42" s="52"/>
      <c r="D42" s="52"/>
      <c r="E42" s="52"/>
      <c r="F42" s="52"/>
      <c r="G42" s="53"/>
      <c r="H42" s="1"/>
      <c r="I42" s="1"/>
      <c r="J42" s="1"/>
      <c r="K42" s="1"/>
    </row>
    <row r="43" spans="1:11" ht="31.95" customHeight="1">
      <c r="A43" s="1"/>
      <c r="B43" s="54"/>
      <c r="C43" s="55"/>
      <c r="D43" s="55"/>
      <c r="E43" s="55"/>
      <c r="F43" s="55"/>
      <c r="G43" s="56"/>
      <c r="H43" s="1"/>
      <c r="I43" s="1"/>
      <c r="J43" s="1"/>
      <c r="K43" s="1"/>
    </row>
    <row r="44" spans="1:11" ht="31.95" customHeight="1">
      <c r="A44" s="1"/>
      <c r="B44" s="54"/>
      <c r="C44" s="55"/>
      <c r="D44" s="55"/>
      <c r="E44" s="55"/>
      <c r="F44" s="55"/>
      <c r="G44" s="56"/>
      <c r="H44" s="1"/>
      <c r="I44" s="1"/>
      <c r="J44" s="1"/>
      <c r="K44" s="1"/>
    </row>
    <row r="45" spans="1:11" ht="31.95" customHeight="1">
      <c r="A45" s="1"/>
      <c r="B45" s="54"/>
      <c r="C45" s="55"/>
      <c r="D45" s="55"/>
      <c r="E45" s="55"/>
      <c r="F45" s="55"/>
      <c r="G45" s="56"/>
      <c r="H45" s="1"/>
      <c r="I45" s="1"/>
      <c r="J45" s="1"/>
      <c r="K45" s="1"/>
    </row>
    <row r="46" spans="1:11" ht="31.95" customHeight="1" thickBot="1">
      <c r="A46" s="1"/>
      <c r="B46" s="57"/>
      <c r="C46" s="58"/>
      <c r="D46" s="58"/>
      <c r="E46" s="58"/>
      <c r="F46" s="58"/>
      <c r="G46" s="59"/>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sheetData>
  <mergeCells count="19">
    <mergeCell ref="B2:G2"/>
    <mergeCell ref="B3:G3"/>
    <mergeCell ref="B4:G4"/>
    <mergeCell ref="B7:C7"/>
    <mergeCell ref="B17:G17"/>
    <mergeCell ref="B18:D18"/>
    <mergeCell ref="E18:G18"/>
    <mergeCell ref="B20:D20"/>
    <mergeCell ref="E20:G20"/>
    <mergeCell ref="B22:D22"/>
    <mergeCell ref="E22:G22"/>
    <mergeCell ref="B36:G38"/>
    <mergeCell ref="B41:G41"/>
    <mergeCell ref="B24:D24"/>
    <mergeCell ref="E24:G24"/>
    <mergeCell ref="B27:G27"/>
    <mergeCell ref="B28:G32"/>
    <mergeCell ref="B35:G35"/>
    <mergeCell ref="B42:G4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0"/>
  <sheetViews>
    <sheetView showGridLines="0" workbookViewId="0">
      <selection activeCell="C44" sqref="C44"/>
    </sheetView>
  </sheetViews>
  <sheetFormatPr baseColWidth="10" defaultColWidth="8.796875" defaultRowHeight="13.8"/>
  <cols>
    <col min="1" max="1" width="3" customWidth="1"/>
    <col min="2" max="2" width="39" customWidth="1"/>
    <col min="3" max="3" width="18" customWidth="1"/>
    <col min="4" max="4" width="20" customWidth="1"/>
    <col min="5" max="5" width="4" customWidth="1"/>
    <col min="6" max="9" width="22" customWidth="1"/>
    <col min="10" max="11" width="3" customWidth="1"/>
  </cols>
  <sheetData>
    <row r="1" spans="1:11">
      <c r="A1" s="1"/>
      <c r="B1" s="1"/>
      <c r="C1" s="1"/>
      <c r="D1" s="1"/>
      <c r="E1" s="1"/>
      <c r="F1" s="1"/>
      <c r="G1" s="1"/>
      <c r="H1" s="1"/>
      <c r="I1" s="1"/>
      <c r="J1" s="1"/>
      <c r="K1" s="1"/>
    </row>
    <row r="2" spans="1:11" ht="45.3" customHeight="1">
      <c r="A2" s="1"/>
      <c r="B2" s="20" t="s">
        <v>65</v>
      </c>
      <c r="C2" s="20"/>
      <c r="D2" s="20"/>
      <c r="E2" s="20"/>
      <c r="F2" s="20"/>
      <c r="G2" s="20"/>
      <c r="H2" s="20"/>
      <c r="I2" s="20"/>
      <c r="J2" s="1"/>
      <c r="K2" s="1"/>
    </row>
    <row r="3" spans="1:11" ht="30.75" customHeight="1">
      <c r="A3" s="1"/>
      <c r="B3" s="21" t="s">
        <v>66</v>
      </c>
      <c r="C3" s="21"/>
      <c r="D3" s="21"/>
      <c r="E3" s="21"/>
      <c r="F3" s="21"/>
      <c r="G3" s="21"/>
      <c r="H3" s="21"/>
      <c r="I3" s="21"/>
      <c r="J3" s="1"/>
      <c r="K3" s="1"/>
    </row>
    <row r="4" spans="1:11" ht="6.75" customHeight="1">
      <c r="A4" s="1"/>
      <c r="B4" s="22"/>
      <c r="C4" s="22"/>
      <c r="D4" s="22"/>
      <c r="E4" s="22"/>
      <c r="F4" s="22"/>
      <c r="G4" s="22"/>
      <c r="H4" s="22"/>
      <c r="I4" s="22"/>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7" t="s">
        <v>67</v>
      </c>
      <c r="C7" s="17"/>
      <c r="D7" s="17"/>
      <c r="E7" s="1"/>
      <c r="F7" s="1"/>
      <c r="G7" s="1"/>
      <c r="H7" s="1"/>
      <c r="I7" s="1"/>
      <c r="J7" s="1"/>
      <c r="K7" s="1"/>
    </row>
    <row r="8" spans="1:11" ht="37.200000000000003" customHeight="1">
      <c r="A8" s="1"/>
      <c r="B8" s="4" t="s">
        <v>68</v>
      </c>
      <c r="C8" s="4" t="s">
        <v>50</v>
      </c>
      <c r="D8" s="4" t="s">
        <v>69</v>
      </c>
      <c r="E8" s="1"/>
      <c r="F8" s="1"/>
      <c r="G8" s="1"/>
      <c r="H8" s="1"/>
      <c r="I8" s="1"/>
      <c r="J8" s="1"/>
      <c r="K8" s="1"/>
    </row>
    <row r="9" spans="1:11">
      <c r="A9" s="1"/>
      <c r="B9" s="5" t="s">
        <v>70</v>
      </c>
      <c r="C9" s="6">
        <v>4250</v>
      </c>
      <c r="D9" s="8">
        <f>(C9/$E$19)*1</f>
        <v>0.54347826086956519</v>
      </c>
      <c r="E9" s="1"/>
      <c r="F9" s="1"/>
      <c r="G9" s="1"/>
      <c r="H9" s="1"/>
      <c r="I9" s="1"/>
      <c r="J9" s="1"/>
      <c r="K9" s="1"/>
    </row>
    <row r="10" spans="1:11">
      <c r="A10" s="1"/>
      <c r="B10" s="5" t="s">
        <v>71</v>
      </c>
      <c r="C10" s="6">
        <v>2100</v>
      </c>
      <c r="D10" s="8">
        <f t="shared" ref="D10:D13" si="0">(C10/$E$19)*1</f>
        <v>0.26854219948849106</v>
      </c>
      <c r="E10" s="1"/>
      <c r="F10" s="1"/>
      <c r="G10" s="1"/>
      <c r="H10" s="1"/>
      <c r="I10" s="1"/>
      <c r="J10" s="1"/>
      <c r="K10" s="1"/>
    </row>
    <row r="11" spans="1:11">
      <c r="A11" s="1"/>
      <c r="B11" s="5" t="s">
        <v>72</v>
      </c>
      <c r="C11" s="6">
        <v>960</v>
      </c>
      <c r="D11" s="8">
        <f t="shared" si="0"/>
        <v>0.12276214833759591</v>
      </c>
      <c r="E11" s="1"/>
      <c r="F11" s="1"/>
      <c r="G11" s="1"/>
      <c r="H11" s="1"/>
      <c r="I11" s="1"/>
      <c r="J11" s="1"/>
      <c r="K11" s="1"/>
    </row>
    <row r="12" spans="1:11">
      <c r="A12" s="1"/>
      <c r="B12" s="5" t="s">
        <v>73</v>
      </c>
      <c r="C12" s="6">
        <v>620</v>
      </c>
      <c r="D12" s="8">
        <f t="shared" si="0"/>
        <v>7.9283887468030695E-2</v>
      </c>
      <c r="E12" s="1"/>
      <c r="F12" s="1"/>
      <c r="G12" s="1"/>
      <c r="H12" s="1"/>
      <c r="I12" s="1"/>
      <c r="J12" s="1"/>
      <c r="K12" s="1"/>
    </row>
    <row r="13" spans="1:11">
      <c r="A13" s="1"/>
      <c r="B13" s="5" t="s">
        <v>74</v>
      </c>
      <c r="C13" s="6">
        <v>110</v>
      </c>
      <c r="D13" s="8">
        <f t="shared" si="0"/>
        <v>1.4066496163682864E-2</v>
      </c>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ht="30.75" customHeight="1">
      <c r="A16" s="1"/>
      <c r="B16" s="17" t="s">
        <v>57</v>
      </c>
      <c r="C16" s="17"/>
      <c r="D16" s="17"/>
      <c r="E16" s="17"/>
      <c r="F16" s="17"/>
      <c r="G16" s="17"/>
      <c r="H16" s="1"/>
      <c r="I16" s="1"/>
      <c r="J16" s="1"/>
      <c r="K16" s="1"/>
    </row>
    <row r="17" spans="1:11" ht="33.299999999999997" customHeight="1">
      <c r="A17" s="1"/>
      <c r="B17" s="19" t="s">
        <v>75</v>
      </c>
      <c r="C17" s="19"/>
      <c r="D17" s="19"/>
      <c r="E17" s="40">
        <f>+C12-C13</f>
        <v>510</v>
      </c>
      <c r="F17" s="15"/>
      <c r="G17" s="15"/>
      <c r="H17" s="1"/>
      <c r="I17" s="1"/>
      <c r="J17" s="1"/>
      <c r="K17" s="1"/>
    </row>
    <row r="18" spans="1:11">
      <c r="A18" s="1"/>
      <c r="B18" s="1"/>
      <c r="C18" s="1"/>
      <c r="D18" s="1"/>
      <c r="E18" s="1"/>
      <c r="F18" s="1"/>
      <c r="G18" s="1"/>
      <c r="H18" s="1"/>
      <c r="I18" s="1"/>
      <c r="J18" s="1"/>
      <c r="K18" s="1"/>
    </row>
    <row r="19" spans="1:11" ht="33.299999999999997" customHeight="1">
      <c r="A19" s="1"/>
      <c r="B19" s="19" t="s">
        <v>76</v>
      </c>
      <c r="C19" s="19"/>
      <c r="D19" s="19"/>
      <c r="E19" s="40">
        <f>+C9+C10+C11+E17</f>
        <v>7820</v>
      </c>
      <c r="F19" s="15"/>
      <c r="G19" s="15"/>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7" t="s">
        <v>42</v>
      </c>
      <c r="C22" s="17"/>
      <c r="D22" s="17"/>
      <c r="E22" s="17"/>
      <c r="F22" s="17"/>
      <c r="G22" s="17"/>
      <c r="H22" s="1"/>
      <c r="I22" s="1"/>
      <c r="J22" s="1"/>
      <c r="K22" s="1"/>
    </row>
    <row r="23" spans="1:11">
      <c r="A23" s="1"/>
      <c r="B23" s="18" t="s">
        <v>132</v>
      </c>
      <c r="C23" s="18"/>
      <c r="D23" s="18"/>
      <c r="E23" s="18"/>
      <c r="F23" s="18"/>
      <c r="G23" s="18"/>
      <c r="H23" s="1"/>
      <c r="I23" s="1"/>
      <c r="J23" s="1"/>
      <c r="K23" s="1"/>
    </row>
    <row r="24" spans="1:11">
      <c r="A24" s="1"/>
      <c r="B24" s="18"/>
      <c r="C24" s="18"/>
      <c r="D24" s="18"/>
      <c r="E24" s="18"/>
      <c r="F24" s="18"/>
      <c r="G24" s="18"/>
      <c r="H24" s="1"/>
      <c r="I24" s="1"/>
      <c r="J24" s="1"/>
      <c r="K24" s="1"/>
    </row>
    <row r="25" spans="1:11">
      <c r="A25" s="1"/>
      <c r="B25" s="18"/>
      <c r="C25" s="18"/>
      <c r="D25" s="18"/>
      <c r="E25" s="18"/>
      <c r="F25" s="18"/>
      <c r="G25" s="18"/>
      <c r="H25" s="1"/>
      <c r="I25" s="1"/>
      <c r="J25" s="1"/>
      <c r="K25" s="1"/>
    </row>
    <row r="26" spans="1:11">
      <c r="A26" s="1"/>
      <c r="B26" s="18"/>
      <c r="C26" s="18"/>
      <c r="D26" s="18"/>
      <c r="E26" s="18"/>
      <c r="F26" s="18"/>
      <c r="G26" s="18"/>
      <c r="H26" s="1"/>
      <c r="I26" s="1"/>
      <c r="J26" s="1"/>
      <c r="K26" s="1"/>
    </row>
    <row r="27" spans="1:11">
      <c r="A27" s="1"/>
      <c r="B27" s="18"/>
      <c r="C27" s="18"/>
      <c r="D27" s="18"/>
      <c r="E27" s="18"/>
      <c r="F27" s="18"/>
      <c r="G27" s="18"/>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ht="30.75" customHeight="1">
      <c r="A30" s="1"/>
      <c r="B30" s="12" t="s">
        <v>62</v>
      </c>
      <c r="C30" s="12"/>
      <c r="D30" s="12"/>
      <c r="E30" s="12"/>
      <c r="F30" s="12"/>
      <c r="G30" s="12"/>
      <c r="H30" s="12"/>
      <c r="I30" s="12"/>
      <c r="J30" s="1"/>
      <c r="K30" s="1"/>
    </row>
    <row r="31" spans="1:11">
      <c r="A31" s="1"/>
      <c r="B31" s="13" t="s">
        <v>77</v>
      </c>
      <c r="C31" s="13"/>
      <c r="D31" s="13"/>
      <c r="E31" s="13"/>
      <c r="F31" s="13"/>
      <c r="G31" s="13"/>
      <c r="H31" s="13"/>
      <c r="I31" s="13"/>
      <c r="J31" s="1"/>
      <c r="K31" s="1"/>
    </row>
    <row r="32" spans="1:11">
      <c r="A32" s="1"/>
      <c r="B32" s="13"/>
      <c r="C32" s="13"/>
      <c r="D32" s="13"/>
      <c r="E32" s="13"/>
      <c r="F32" s="13"/>
      <c r="G32" s="13"/>
      <c r="H32" s="13"/>
      <c r="I32" s="13"/>
      <c r="J32" s="1"/>
      <c r="K32" s="1"/>
    </row>
    <row r="33" spans="1:11">
      <c r="A33" s="1"/>
      <c r="B33" s="13"/>
      <c r="C33" s="13"/>
      <c r="D33" s="13"/>
      <c r="E33" s="13"/>
      <c r="F33" s="13"/>
      <c r="G33" s="13"/>
      <c r="H33" s="13"/>
      <c r="I33" s="13"/>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41.25" customHeight="1" thickBot="1">
      <c r="A36" s="1"/>
      <c r="B36" s="14" t="s">
        <v>78</v>
      </c>
      <c r="C36" s="14"/>
      <c r="D36" s="14"/>
      <c r="E36" s="14"/>
      <c r="F36" s="14"/>
      <c r="G36" s="14"/>
      <c r="H36" s="14"/>
      <c r="I36" s="14"/>
      <c r="J36" s="1"/>
      <c r="K36" s="1"/>
    </row>
    <row r="37" spans="1:11" ht="31.95" customHeight="1">
      <c r="A37" s="1"/>
      <c r="B37" s="60" t="s">
        <v>133</v>
      </c>
      <c r="C37" s="61"/>
      <c r="D37" s="61"/>
      <c r="E37" s="61"/>
      <c r="F37" s="61"/>
      <c r="G37" s="61"/>
      <c r="H37" s="61"/>
      <c r="I37" s="62"/>
      <c r="J37" s="1"/>
      <c r="K37" s="1"/>
    </row>
    <row r="38" spans="1:11" ht="31.95" customHeight="1">
      <c r="A38" s="1"/>
      <c r="B38" s="63"/>
      <c r="C38" s="64"/>
      <c r="D38" s="64"/>
      <c r="E38" s="64"/>
      <c r="F38" s="64"/>
      <c r="G38" s="64"/>
      <c r="H38" s="64"/>
      <c r="I38" s="65"/>
      <c r="J38" s="1"/>
      <c r="K38" s="1"/>
    </row>
    <row r="39" spans="1:11" ht="31.95" customHeight="1">
      <c r="A39" s="1"/>
      <c r="B39" s="63"/>
      <c r="C39" s="64"/>
      <c r="D39" s="64"/>
      <c r="E39" s="64"/>
      <c r="F39" s="64"/>
      <c r="G39" s="64"/>
      <c r="H39" s="64"/>
      <c r="I39" s="65"/>
      <c r="J39" s="1"/>
      <c r="K39" s="1"/>
    </row>
    <row r="40" spans="1:11" ht="31.95" customHeight="1" thickBot="1">
      <c r="A40" s="1"/>
      <c r="B40" s="66"/>
      <c r="C40" s="67"/>
      <c r="D40" s="67"/>
      <c r="E40" s="67"/>
      <c r="F40" s="67"/>
      <c r="G40" s="67"/>
      <c r="H40" s="67"/>
      <c r="I40" s="68"/>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sheetData>
  <mergeCells count="15">
    <mergeCell ref="B2:I2"/>
    <mergeCell ref="B3:I3"/>
    <mergeCell ref="B4:I4"/>
    <mergeCell ref="B7:D7"/>
    <mergeCell ref="B16:G16"/>
    <mergeCell ref="B17:D17"/>
    <mergeCell ref="E17:G17"/>
    <mergeCell ref="B19:D19"/>
    <mergeCell ref="E19:G19"/>
    <mergeCell ref="B22:G22"/>
    <mergeCell ref="B23:G27"/>
    <mergeCell ref="B30:I30"/>
    <mergeCell ref="B31:I33"/>
    <mergeCell ref="B36:I36"/>
    <mergeCell ref="B37:I4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showGridLines="0" topLeftCell="A23" workbookViewId="0">
      <selection activeCell="B43" sqref="B43:J47"/>
    </sheetView>
  </sheetViews>
  <sheetFormatPr baseColWidth="10" defaultColWidth="8.796875" defaultRowHeight="13.8"/>
  <cols>
    <col min="1" max="1" width="3" customWidth="1"/>
    <col min="2" max="2" width="29" customWidth="1"/>
    <col min="3" max="3" width="17" customWidth="1"/>
    <col min="4" max="4" width="4" customWidth="1"/>
    <col min="5" max="5" width="31" customWidth="1"/>
    <col min="6" max="6" width="17" customWidth="1"/>
    <col min="7" max="7" width="4" customWidth="1"/>
    <col min="8" max="10" width="20" customWidth="1"/>
    <col min="11" max="11" width="3" customWidth="1"/>
  </cols>
  <sheetData>
    <row r="1" spans="1:11">
      <c r="A1" s="1"/>
      <c r="B1" s="1"/>
      <c r="C1" s="1"/>
      <c r="D1" s="1"/>
      <c r="E1" s="1"/>
      <c r="F1" s="1"/>
      <c r="G1" s="1"/>
      <c r="H1" s="1"/>
      <c r="I1" s="1"/>
      <c r="J1" s="1"/>
      <c r="K1" s="1"/>
    </row>
    <row r="2" spans="1:11" ht="45.3" customHeight="1">
      <c r="A2" s="1"/>
      <c r="B2" s="20" t="s">
        <v>79</v>
      </c>
      <c r="C2" s="20"/>
      <c r="D2" s="20"/>
      <c r="E2" s="20"/>
      <c r="F2" s="20"/>
      <c r="G2" s="20"/>
      <c r="H2" s="20"/>
      <c r="I2" s="20"/>
      <c r="J2" s="20"/>
      <c r="K2" s="1"/>
    </row>
    <row r="3" spans="1:11" ht="30.75" customHeight="1">
      <c r="A3" s="1"/>
      <c r="B3" s="21" t="s">
        <v>80</v>
      </c>
      <c r="C3" s="21"/>
      <c r="D3" s="21"/>
      <c r="E3" s="21"/>
      <c r="F3" s="21"/>
      <c r="G3" s="21"/>
      <c r="H3" s="21"/>
      <c r="I3" s="21"/>
      <c r="J3" s="21"/>
      <c r="K3" s="1"/>
    </row>
    <row r="4" spans="1:11" ht="6.75" customHeight="1">
      <c r="A4" s="1"/>
      <c r="B4" s="22"/>
      <c r="C4" s="22"/>
      <c r="D4" s="22"/>
      <c r="E4" s="22"/>
      <c r="F4" s="22"/>
      <c r="G4" s="22"/>
      <c r="H4" s="22"/>
      <c r="I4" s="22"/>
      <c r="J4" s="22"/>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7" t="s">
        <v>81</v>
      </c>
      <c r="C7" s="17"/>
      <c r="D7" s="17"/>
      <c r="E7" s="17"/>
      <c r="F7" s="17"/>
      <c r="G7" s="17"/>
      <c r="H7" s="17"/>
      <c r="I7" s="17"/>
      <c r="J7" s="17"/>
      <c r="K7" s="1"/>
    </row>
    <row r="8" spans="1:11">
      <c r="A8" s="1"/>
      <c r="B8" s="23" t="s">
        <v>82</v>
      </c>
      <c r="C8" s="23"/>
      <c r="D8" s="23"/>
      <c r="E8" s="23"/>
      <c r="F8" s="24" t="s">
        <v>83</v>
      </c>
      <c r="G8" s="24"/>
      <c r="H8" s="24"/>
      <c r="I8" s="24"/>
      <c r="J8" s="24"/>
      <c r="K8" s="1"/>
    </row>
    <row r="9" spans="1:11">
      <c r="A9" s="1"/>
      <c r="B9" s="23"/>
      <c r="C9" s="23"/>
      <c r="D9" s="23"/>
      <c r="E9" s="23"/>
      <c r="F9" s="24"/>
      <c r="G9" s="24"/>
      <c r="H9" s="24"/>
      <c r="I9" s="24"/>
      <c r="J9" s="24"/>
      <c r="K9" s="1"/>
    </row>
    <row r="10" spans="1:11">
      <c r="A10" s="1"/>
      <c r="B10" s="23"/>
      <c r="C10" s="23"/>
      <c r="D10" s="23"/>
      <c r="E10" s="23"/>
      <c r="F10" s="24"/>
      <c r="G10" s="24"/>
      <c r="H10" s="24"/>
      <c r="I10" s="24"/>
      <c r="J10" s="24"/>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7" t="s">
        <v>84</v>
      </c>
      <c r="C13" s="17"/>
      <c r="D13" s="1"/>
      <c r="E13" s="17" t="s">
        <v>85</v>
      </c>
      <c r="F13" s="17"/>
      <c r="G13" s="1"/>
      <c r="H13" s="1"/>
      <c r="I13" s="1"/>
      <c r="J13" s="1"/>
      <c r="K13" s="1"/>
    </row>
    <row r="14" spans="1:11" ht="37.200000000000003" customHeight="1">
      <c r="A14" s="1"/>
      <c r="B14" s="4" t="s">
        <v>49</v>
      </c>
      <c r="C14" s="4" t="s">
        <v>50</v>
      </c>
      <c r="D14" s="1"/>
      <c r="E14" s="4" t="s">
        <v>49</v>
      </c>
      <c r="F14" s="4" t="s">
        <v>50</v>
      </c>
      <c r="G14" s="1"/>
      <c r="H14" s="1"/>
      <c r="I14" s="1"/>
      <c r="J14" s="1"/>
      <c r="K14" s="1"/>
    </row>
    <row r="15" spans="1:11">
      <c r="A15" s="1"/>
      <c r="B15" s="5" t="s">
        <v>86</v>
      </c>
      <c r="C15" s="6">
        <v>5200</v>
      </c>
      <c r="D15" s="1"/>
      <c r="E15" s="5" t="s">
        <v>70</v>
      </c>
      <c r="F15" s="6">
        <v>4300</v>
      </c>
      <c r="G15" s="1"/>
      <c r="H15" s="1"/>
      <c r="I15" s="1"/>
      <c r="J15" s="1"/>
      <c r="K15" s="1"/>
    </row>
    <row r="16" spans="1:11">
      <c r="A16" s="1"/>
      <c r="B16" s="5" t="s">
        <v>87</v>
      </c>
      <c r="C16" s="6">
        <v>1800</v>
      </c>
      <c r="D16" s="1"/>
      <c r="E16" s="5" t="s">
        <v>71</v>
      </c>
      <c r="F16" s="7">
        <f>9000-F15-F17-F18</f>
        <v>3100</v>
      </c>
      <c r="G16" s="1"/>
      <c r="H16" s="1"/>
      <c r="I16" s="1"/>
      <c r="J16" s="1"/>
      <c r="K16" s="1"/>
    </row>
    <row r="17" spans="1:11">
      <c r="A17" s="1"/>
      <c r="B17" s="5" t="s">
        <v>88</v>
      </c>
      <c r="C17" s="6">
        <v>1500</v>
      </c>
      <c r="D17" s="1"/>
      <c r="E17" s="5" t="s">
        <v>89</v>
      </c>
      <c r="F17" s="6">
        <v>1100</v>
      </c>
      <c r="G17" s="1"/>
      <c r="H17" s="1"/>
      <c r="I17" s="1"/>
      <c r="J17" s="1"/>
      <c r="K17" s="1"/>
    </row>
    <row r="18" spans="1:11">
      <c r="A18" s="1"/>
      <c r="B18" s="5" t="s">
        <v>90</v>
      </c>
      <c r="C18" s="6">
        <v>1100</v>
      </c>
      <c r="D18" s="1"/>
      <c r="E18" s="5" t="s">
        <v>91</v>
      </c>
      <c r="F18" s="6">
        <v>500</v>
      </c>
      <c r="G18" s="1"/>
      <c r="H18" s="1"/>
      <c r="I18" s="1"/>
      <c r="J18" s="1"/>
      <c r="K18" s="1"/>
    </row>
    <row r="19" spans="1:11">
      <c r="A19" s="1"/>
      <c r="B19" s="5" t="s">
        <v>92</v>
      </c>
      <c r="C19" s="7">
        <f>SUM(C15:C18)-9000</f>
        <v>600</v>
      </c>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7" t="s">
        <v>93</v>
      </c>
      <c r="C22" s="17"/>
      <c r="D22" s="17"/>
      <c r="E22" s="17"/>
      <c r="F22" s="17"/>
      <c r="G22" s="17"/>
      <c r="H22" s="17"/>
      <c r="I22" s="17"/>
      <c r="J22" s="17"/>
      <c r="K22" s="1"/>
    </row>
    <row r="23" spans="1:11">
      <c r="A23" s="1"/>
      <c r="B23" s="19" t="s">
        <v>94</v>
      </c>
      <c r="C23" s="19"/>
      <c r="D23" s="19"/>
      <c r="E23" s="19" t="s">
        <v>95</v>
      </c>
      <c r="F23" s="19"/>
      <c r="G23" s="19"/>
      <c r="H23" s="19" t="s">
        <v>96</v>
      </c>
      <c r="I23" s="19"/>
      <c r="J23" s="19"/>
      <c r="K23" s="1"/>
    </row>
    <row r="24" spans="1:11">
      <c r="A24" s="1"/>
      <c r="B24" s="40">
        <f>+C19</f>
        <v>600</v>
      </c>
      <c r="C24" s="15"/>
      <c r="D24" s="15"/>
      <c r="E24" s="40">
        <f>+F16</f>
        <v>3100</v>
      </c>
      <c r="F24" s="15"/>
      <c r="G24" s="15"/>
      <c r="H24" s="16" t="s">
        <v>97</v>
      </c>
      <c r="I24" s="16"/>
      <c r="J24" s="16"/>
      <c r="K24" s="1"/>
    </row>
    <row r="25" spans="1:11">
      <c r="A25" s="1"/>
      <c r="B25" s="15"/>
      <c r="C25" s="15"/>
      <c r="D25" s="15"/>
      <c r="E25" s="15"/>
      <c r="F25" s="15"/>
      <c r="G25" s="15"/>
      <c r="H25" s="16"/>
      <c r="I25" s="16"/>
      <c r="J25" s="16"/>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7" t="s">
        <v>42</v>
      </c>
      <c r="C28" s="17"/>
      <c r="D28" s="17"/>
      <c r="E28" s="17"/>
      <c r="F28" s="17"/>
      <c r="G28" s="17"/>
      <c r="H28" s="17"/>
      <c r="I28" s="17"/>
      <c r="J28" s="17"/>
      <c r="K28" s="1"/>
    </row>
    <row r="29" spans="1:11">
      <c r="A29" s="1"/>
      <c r="B29" s="18" t="s">
        <v>134</v>
      </c>
      <c r="C29" s="18"/>
      <c r="D29" s="18"/>
      <c r="E29" s="18"/>
      <c r="F29" s="18"/>
      <c r="G29" s="18"/>
      <c r="H29" s="18"/>
      <c r="I29" s="18"/>
      <c r="J29" s="18"/>
      <c r="K29" s="1"/>
    </row>
    <row r="30" spans="1:11">
      <c r="A30" s="1"/>
      <c r="B30" s="18"/>
      <c r="C30" s="18"/>
      <c r="D30" s="18"/>
      <c r="E30" s="18"/>
      <c r="F30" s="18"/>
      <c r="G30" s="18"/>
      <c r="H30" s="18"/>
      <c r="I30" s="18"/>
      <c r="J30" s="18"/>
      <c r="K30" s="1"/>
    </row>
    <row r="31" spans="1:11">
      <c r="A31" s="1"/>
      <c r="B31" s="18"/>
      <c r="C31" s="18"/>
      <c r="D31" s="18"/>
      <c r="E31" s="18"/>
      <c r="F31" s="18"/>
      <c r="G31" s="18"/>
      <c r="H31" s="18"/>
      <c r="I31" s="18"/>
      <c r="J31" s="18"/>
      <c r="K31" s="1"/>
    </row>
    <row r="32" spans="1:11">
      <c r="A32" s="1"/>
      <c r="B32" s="18"/>
      <c r="C32" s="18"/>
      <c r="D32" s="18"/>
      <c r="E32" s="18"/>
      <c r="F32" s="18"/>
      <c r="G32" s="18"/>
      <c r="H32" s="18"/>
      <c r="I32" s="18"/>
      <c r="J32" s="18"/>
      <c r="K32" s="1"/>
    </row>
    <row r="33" spans="1:11">
      <c r="A33" s="1"/>
      <c r="B33" s="18"/>
      <c r="C33" s="18"/>
      <c r="D33" s="18"/>
      <c r="E33" s="18"/>
      <c r="F33" s="18"/>
      <c r="G33" s="18"/>
      <c r="H33" s="18"/>
      <c r="I33" s="18"/>
      <c r="J33" s="18"/>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30.75" customHeight="1">
      <c r="A36" s="1"/>
      <c r="B36" s="12" t="s">
        <v>98</v>
      </c>
      <c r="C36" s="12"/>
      <c r="D36" s="12"/>
      <c r="E36" s="12"/>
      <c r="F36" s="12"/>
      <c r="G36" s="12"/>
      <c r="H36" s="12"/>
      <c r="I36" s="12"/>
      <c r="J36" s="12"/>
      <c r="K36" s="1"/>
    </row>
    <row r="37" spans="1:11">
      <c r="A37" s="1"/>
      <c r="B37" s="13" t="s">
        <v>99</v>
      </c>
      <c r="C37" s="13"/>
      <c r="D37" s="13"/>
      <c r="E37" s="13"/>
      <c r="F37" s="13"/>
      <c r="G37" s="13"/>
      <c r="H37" s="13"/>
      <c r="I37" s="13"/>
      <c r="J37" s="13"/>
      <c r="K37" s="1"/>
    </row>
    <row r="38" spans="1:11">
      <c r="A38" s="1"/>
      <c r="B38" s="13"/>
      <c r="C38" s="13"/>
      <c r="D38" s="13"/>
      <c r="E38" s="13"/>
      <c r="F38" s="13"/>
      <c r="G38" s="13"/>
      <c r="H38" s="13"/>
      <c r="I38" s="13"/>
      <c r="J38" s="13"/>
      <c r="K38" s="1"/>
    </row>
    <row r="39" spans="1:11">
      <c r="A39" s="1"/>
      <c r="B39" s="13"/>
      <c r="C39" s="13"/>
      <c r="D39" s="13"/>
      <c r="E39" s="13"/>
      <c r="F39" s="13"/>
      <c r="G39" s="13"/>
      <c r="H39" s="13"/>
      <c r="I39" s="13"/>
      <c r="J39" s="13"/>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ht="41.25" customHeight="1" thickBot="1">
      <c r="A42" s="1"/>
      <c r="B42" s="14" t="s">
        <v>100</v>
      </c>
      <c r="C42" s="14"/>
      <c r="D42" s="14"/>
      <c r="E42" s="14"/>
      <c r="F42" s="14"/>
      <c r="G42" s="14"/>
      <c r="H42" s="14"/>
      <c r="I42" s="14"/>
      <c r="J42" s="14"/>
      <c r="K42" s="1"/>
    </row>
    <row r="43" spans="1:11" ht="31.95" customHeight="1">
      <c r="A43" s="1"/>
      <c r="B43" s="51" t="s">
        <v>135</v>
      </c>
      <c r="C43" s="52"/>
      <c r="D43" s="52"/>
      <c r="E43" s="52"/>
      <c r="F43" s="52"/>
      <c r="G43" s="52"/>
      <c r="H43" s="52"/>
      <c r="I43" s="52"/>
      <c r="J43" s="53"/>
      <c r="K43" s="1"/>
    </row>
    <row r="44" spans="1:11" ht="31.95" customHeight="1">
      <c r="A44" s="1"/>
      <c r="B44" s="54"/>
      <c r="C44" s="55"/>
      <c r="D44" s="55"/>
      <c r="E44" s="55"/>
      <c r="F44" s="55"/>
      <c r="G44" s="55"/>
      <c r="H44" s="55"/>
      <c r="I44" s="55"/>
      <c r="J44" s="56"/>
      <c r="K44" s="1"/>
    </row>
    <row r="45" spans="1:11" ht="31.95" customHeight="1">
      <c r="A45" s="1"/>
      <c r="B45" s="54"/>
      <c r="C45" s="55"/>
      <c r="D45" s="55"/>
      <c r="E45" s="55"/>
      <c r="F45" s="55"/>
      <c r="G45" s="55"/>
      <c r="H45" s="55"/>
      <c r="I45" s="55"/>
      <c r="J45" s="56"/>
      <c r="K45" s="1"/>
    </row>
    <row r="46" spans="1:11" ht="31.95" customHeight="1">
      <c r="A46" s="1"/>
      <c r="B46" s="54"/>
      <c r="C46" s="55"/>
      <c r="D46" s="55"/>
      <c r="E46" s="55"/>
      <c r="F46" s="55"/>
      <c r="G46" s="55"/>
      <c r="H46" s="55"/>
      <c r="I46" s="55"/>
      <c r="J46" s="56"/>
      <c r="K46" s="1"/>
    </row>
    <row r="47" spans="1:11" ht="31.95" customHeight="1" thickBot="1">
      <c r="A47" s="1"/>
      <c r="B47" s="57"/>
      <c r="C47" s="58"/>
      <c r="D47" s="58"/>
      <c r="E47" s="58"/>
      <c r="F47" s="58"/>
      <c r="G47" s="58"/>
      <c r="H47" s="58"/>
      <c r="I47" s="58"/>
      <c r="J47" s="59"/>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ht="41.25" customHeight="1" thickBot="1">
      <c r="A50" s="1"/>
      <c r="B50" s="14" t="s">
        <v>101</v>
      </c>
      <c r="C50" s="14"/>
      <c r="D50" s="14"/>
      <c r="E50" s="14"/>
      <c r="F50" s="14"/>
      <c r="G50" s="14"/>
      <c r="H50" s="14"/>
      <c r="I50" s="14"/>
      <c r="J50" s="14"/>
      <c r="K50" s="1"/>
    </row>
    <row r="51" spans="1:11" ht="31.95" customHeight="1">
      <c r="A51" s="1"/>
      <c r="B51" s="51" t="s">
        <v>136</v>
      </c>
      <c r="C51" s="52"/>
      <c r="D51" s="52"/>
      <c r="E51" s="52"/>
      <c r="F51" s="52"/>
      <c r="G51" s="52"/>
      <c r="H51" s="52"/>
      <c r="I51" s="52"/>
      <c r="J51" s="53"/>
      <c r="K51" s="1"/>
    </row>
    <row r="52" spans="1:11" ht="31.95" customHeight="1">
      <c r="A52" s="1"/>
      <c r="B52" s="54"/>
      <c r="C52" s="55"/>
      <c r="D52" s="55"/>
      <c r="E52" s="55"/>
      <c r="F52" s="55"/>
      <c r="G52" s="55"/>
      <c r="H52" s="55"/>
      <c r="I52" s="55"/>
      <c r="J52" s="56"/>
      <c r="K52" s="1"/>
    </row>
    <row r="53" spans="1:11" ht="31.95" customHeight="1">
      <c r="A53" s="1"/>
      <c r="B53" s="54"/>
      <c r="C53" s="55"/>
      <c r="D53" s="55"/>
      <c r="E53" s="55"/>
      <c r="F53" s="55"/>
      <c r="G53" s="55"/>
      <c r="H53" s="55"/>
      <c r="I53" s="55"/>
      <c r="J53" s="56"/>
      <c r="K53" s="1"/>
    </row>
    <row r="54" spans="1:11" ht="31.95" customHeight="1">
      <c r="A54" s="1"/>
      <c r="B54" s="54"/>
      <c r="C54" s="55"/>
      <c r="D54" s="55"/>
      <c r="E54" s="55"/>
      <c r="F54" s="55"/>
      <c r="G54" s="55"/>
      <c r="H54" s="55"/>
      <c r="I54" s="55"/>
      <c r="J54" s="56"/>
      <c r="K54" s="1"/>
    </row>
    <row r="55" spans="1:11" ht="31.95" customHeight="1" thickBot="1">
      <c r="A55" s="1"/>
      <c r="B55" s="57"/>
      <c r="C55" s="58"/>
      <c r="D55" s="58"/>
      <c r="E55" s="58"/>
      <c r="F55" s="58"/>
      <c r="G55" s="58"/>
      <c r="H55" s="58"/>
      <c r="I55" s="58"/>
      <c r="J55" s="59"/>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sheetData>
  <mergeCells count="23">
    <mergeCell ref="B2:J2"/>
    <mergeCell ref="B3:J3"/>
    <mergeCell ref="B4:J4"/>
    <mergeCell ref="B7:J7"/>
    <mergeCell ref="B8:E10"/>
    <mergeCell ref="F8:J10"/>
    <mergeCell ref="B13:C13"/>
    <mergeCell ref="E13:F13"/>
    <mergeCell ref="B22:J22"/>
    <mergeCell ref="B23:D23"/>
    <mergeCell ref="E23:G23"/>
    <mergeCell ref="H23:J23"/>
    <mergeCell ref="B24:D25"/>
    <mergeCell ref="E24:G25"/>
    <mergeCell ref="H24:J25"/>
    <mergeCell ref="B28:J28"/>
    <mergeCell ref="B29:J33"/>
    <mergeCell ref="B51:J55"/>
    <mergeCell ref="B36:J36"/>
    <mergeCell ref="B37:J39"/>
    <mergeCell ref="B42:J42"/>
    <mergeCell ref="B43:J47"/>
    <mergeCell ref="B50:J5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8"/>
  <sheetViews>
    <sheetView showGridLines="0" tabSelected="1" topLeftCell="B56" zoomScaleNormal="100" workbookViewId="0">
      <selection activeCell="B69" sqref="B69"/>
    </sheetView>
  </sheetViews>
  <sheetFormatPr baseColWidth="10" defaultColWidth="8.796875" defaultRowHeight="13.8"/>
  <cols>
    <col min="1" max="1" width="3" customWidth="1"/>
    <col min="2" max="2" width="38" customWidth="1"/>
    <col min="3" max="4" width="17" customWidth="1"/>
    <col min="5" max="6" width="18" customWidth="1"/>
    <col min="7" max="7" width="4" customWidth="1"/>
    <col min="8" max="10" width="20" customWidth="1"/>
    <col min="11" max="11" width="3" customWidth="1"/>
  </cols>
  <sheetData>
    <row r="1" spans="1:11">
      <c r="A1" s="1"/>
      <c r="B1" s="1"/>
      <c r="C1" s="1"/>
      <c r="D1" s="1"/>
      <c r="E1" s="1"/>
      <c r="F1" s="1"/>
      <c r="G1" s="1"/>
      <c r="H1" s="1"/>
      <c r="I1" s="1"/>
      <c r="J1" s="1"/>
      <c r="K1" s="1"/>
    </row>
    <row r="2" spans="1:11" ht="45.3" customHeight="1">
      <c r="A2" s="1"/>
      <c r="B2" s="20" t="s">
        <v>102</v>
      </c>
      <c r="C2" s="20"/>
      <c r="D2" s="20"/>
      <c r="E2" s="20"/>
      <c r="F2" s="20"/>
      <c r="G2" s="20"/>
      <c r="H2" s="20"/>
      <c r="I2" s="20"/>
      <c r="J2" s="20"/>
      <c r="K2" s="1"/>
    </row>
    <row r="3" spans="1:11" ht="30.75" customHeight="1">
      <c r="A3" s="1"/>
      <c r="B3" s="21" t="s">
        <v>103</v>
      </c>
      <c r="C3" s="21"/>
      <c r="D3" s="21"/>
      <c r="E3" s="21"/>
      <c r="F3" s="21"/>
      <c r="G3" s="21"/>
      <c r="H3" s="21"/>
      <c r="I3" s="21"/>
      <c r="J3" s="21"/>
      <c r="K3" s="1"/>
    </row>
    <row r="4" spans="1:11" ht="6.75" customHeight="1">
      <c r="A4" s="1"/>
      <c r="B4" s="22"/>
      <c r="C4" s="22"/>
      <c r="D4" s="22"/>
      <c r="E4" s="22"/>
      <c r="F4" s="22"/>
      <c r="G4" s="22"/>
      <c r="H4" s="22"/>
      <c r="I4" s="22"/>
      <c r="J4" s="22"/>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7" t="s">
        <v>104</v>
      </c>
      <c r="C7" s="17"/>
      <c r="D7" s="17"/>
      <c r="E7" s="17"/>
      <c r="F7" s="17"/>
      <c r="G7" s="17"/>
      <c r="H7" s="17"/>
      <c r="I7" s="17"/>
      <c r="J7" s="17"/>
      <c r="K7" s="1"/>
    </row>
    <row r="8" spans="1:11" ht="26.4">
      <c r="A8" s="1"/>
      <c r="B8" s="10" t="s">
        <v>105</v>
      </c>
      <c r="C8" s="27" t="s">
        <v>137</v>
      </c>
      <c r="D8" s="27"/>
      <c r="E8" s="27"/>
      <c r="F8" s="10" t="s">
        <v>106</v>
      </c>
      <c r="G8" s="11"/>
      <c r="H8" s="69">
        <v>865420.5</v>
      </c>
      <c r="I8" s="11"/>
      <c r="J8" s="11"/>
      <c r="K8" s="1"/>
    </row>
    <row r="9" spans="1:11">
      <c r="A9" s="1"/>
      <c r="B9" s="1"/>
      <c r="C9" s="1"/>
      <c r="D9" s="1"/>
      <c r="E9" s="1"/>
      <c r="F9" s="1"/>
      <c r="G9" s="1"/>
      <c r="H9" s="1"/>
      <c r="I9" s="1"/>
      <c r="J9" s="1"/>
      <c r="K9" s="1"/>
    </row>
    <row r="10" spans="1:11" ht="26.4">
      <c r="A10" s="1"/>
      <c r="B10" s="10" t="s">
        <v>107</v>
      </c>
      <c r="C10" s="36">
        <v>46261</v>
      </c>
      <c r="D10" s="3"/>
      <c r="E10" s="3"/>
      <c r="F10" s="10" t="s">
        <v>108</v>
      </c>
      <c r="G10" s="70" t="s">
        <v>138</v>
      </c>
      <c r="H10" s="34"/>
      <c r="I10" s="34"/>
      <c r="J10" s="34"/>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7" t="s">
        <v>109</v>
      </c>
      <c r="C13" s="17"/>
      <c r="D13" s="17"/>
      <c r="E13" s="17"/>
      <c r="F13" s="17"/>
      <c r="G13" s="17"/>
      <c r="H13" s="17"/>
      <c r="I13" s="17"/>
      <c r="J13" s="17"/>
      <c r="K13" s="1"/>
    </row>
    <row r="14" spans="1:11" ht="37.200000000000003" customHeight="1">
      <c r="A14" s="1"/>
      <c r="B14" s="4" t="s">
        <v>26</v>
      </c>
      <c r="C14" s="4" t="s">
        <v>110</v>
      </c>
      <c r="D14" s="4" t="s">
        <v>111</v>
      </c>
      <c r="E14" s="4" t="s">
        <v>112</v>
      </c>
      <c r="F14" s="4" t="s">
        <v>113</v>
      </c>
      <c r="G14" s="1"/>
      <c r="H14" s="1"/>
      <c r="I14" s="1"/>
      <c r="J14" s="1"/>
      <c r="K14" s="1"/>
    </row>
    <row r="15" spans="1:11">
      <c r="A15" s="1"/>
      <c r="B15" s="5" t="s">
        <v>114</v>
      </c>
      <c r="C15" s="11">
        <v>78597.511313364797</v>
      </c>
      <c r="D15" s="11">
        <v>84835.192942658701</v>
      </c>
      <c r="E15" s="8">
        <f>((D15-C15)/C15)*1</f>
        <v>7.9362329990634736E-2</v>
      </c>
      <c r="F15" s="8">
        <f>(D15/$H$8)*1</f>
        <v>9.802771362899157E-2</v>
      </c>
      <c r="G15" s="1"/>
      <c r="H15" s="1"/>
      <c r="I15" s="1"/>
      <c r="J15" s="1"/>
      <c r="K15" s="1"/>
    </row>
    <row r="16" spans="1:11">
      <c r="A16" s="1"/>
      <c r="B16" s="5" t="s">
        <v>32</v>
      </c>
      <c r="C16" s="11">
        <v>114464.08566819401</v>
      </c>
      <c r="D16" s="11">
        <v>118927.00103401</v>
      </c>
      <c r="E16" s="8">
        <f t="shared" ref="E16:E19" si="0">((D16-C16)/C16)*1</f>
        <v>3.898965636044998E-2</v>
      </c>
      <c r="F16" s="8">
        <f t="shared" ref="F16:F19" si="1">(D16/$H$8)*1</f>
        <v>0.13742105835719168</v>
      </c>
      <c r="G16" s="1"/>
      <c r="H16" s="1"/>
      <c r="I16" s="1"/>
      <c r="J16" s="1"/>
      <c r="K16" s="1"/>
    </row>
    <row r="17" spans="1:11">
      <c r="A17" s="1"/>
      <c r="B17" s="5" t="s">
        <v>33</v>
      </c>
      <c r="C17" s="11">
        <v>45286.529207953201</v>
      </c>
      <c r="D17" s="11">
        <v>47780.226716185898</v>
      </c>
      <c r="E17" s="8">
        <f t="shared" si="0"/>
        <v>5.5064884676451535E-2</v>
      </c>
      <c r="F17" s="8">
        <f t="shared" si="1"/>
        <v>5.5210417035632849E-2</v>
      </c>
      <c r="G17" s="1"/>
      <c r="H17" s="1"/>
      <c r="I17" s="1"/>
      <c r="J17" s="1"/>
      <c r="K17" s="1"/>
    </row>
    <row r="18" spans="1:11">
      <c r="A18" s="1"/>
      <c r="B18" s="5" t="s">
        <v>115</v>
      </c>
      <c r="C18" s="11">
        <v>169370.393096997</v>
      </c>
      <c r="D18" s="11">
        <v>186914.85740552601</v>
      </c>
      <c r="E18" s="8">
        <f t="shared" si="0"/>
        <v>0.10358637060304542</v>
      </c>
      <c r="F18" s="8">
        <f t="shared" si="1"/>
        <v>0.21598154585606189</v>
      </c>
      <c r="G18" s="1"/>
      <c r="H18" s="1"/>
      <c r="I18" s="1"/>
      <c r="J18" s="1"/>
      <c r="K18" s="1"/>
    </row>
    <row r="19" spans="1:11">
      <c r="A19" s="1"/>
      <c r="B19" s="5" t="s">
        <v>140</v>
      </c>
      <c r="C19" s="11">
        <v>34720.910627915</v>
      </c>
      <c r="D19" s="11">
        <v>39082.247668555501</v>
      </c>
      <c r="E19" s="8">
        <f t="shared" si="0"/>
        <v>0.12561125159931902</v>
      </c>
      <c r="F19" s="8">
        <f t="shared" si="1"/>
        <v>4.5159835789140075E-2</v>
      </c>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2" t="s">
        <v>116</v>
      </c>
      <c r="C22" s="12"/>
      <c r="D22" s="12"/>
      <c r="E22" s="12"/>
      <c r="F22" s="12"/>
      <c r="G22" s="12"/>
      <c r="H22" s="12"/>
      <c r="I22" s="12"/>
      <c r="J22" s="12"/>
      <c r="K22" s="1"/>
    </row>
    <row r="23" spans="1:11">
      <c r="A23" s="1"/>
      <c r="B23" s="13" t="s">
        <v>117</v>
      </c>
      <c r="C23" s="13"/>
      <c r="D23" s="13"/>
      <c r="E23" s="13"/>
      <c r="F23" s="13"/>
      <c r="G23" s="13"/>
      <c r="H23" s="13"/>
      <c r="I23" s="13"/>
      <c r="J23" s="13"/>
      <c r="K23" s="1"/>
    </row>
    <row r="24" spans="1:11">
      <c r="A24" s="1"/>
      <c r="B24" s="13"/>
      <c r="C24" s="13"/>
      <c r="D24" s="13"/>
      <c r="E24" s="13"/>
      <c r="F24" s="13"/>
      <c r="G24" s="13"/>
      <c r="H24" s="13"/>
      <c r="I24" s="13"/>
      <c r="J24" s="13"/>
      <c r="K24" s="1"/>
    </row>
    <row r="25" spans="1:11">
      <c r="A25" s="1"/>
      <c r="B25" s="13"/>
      <c r="C25" s="13"/>
      <c r="D25" s="13"/>
      <c r="E25" s="13"/>
      <c r="F25" s="13"/>
      <c r="G25" s="13"/>
      <c r="H25" s="13"/>
      <c r="I25" s="13"/>
      <c r="J25" s="13"/>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7" t="s">
        <v>118</v>
      </c>
      <c r="C28" s="17"/>
      <c r="D28" s="17"/>
      <c r="E28" s="17"/>
      <c r="F28" s="17"/>
      <c r="G28" s="17"/>
      <c r="H28" s="17"/>
      <c r="I28" s="17"/>
      <c r="J28" s="17"/>
      <c r="K28" s="1"/>
    </row>
    <row r="29" spans="1:11">
      <c r="A29" s="1"/>
      <c r="B29" s="19" t="s">
        <v>119</v>
      </c>
      <c r="C29" s="19"/>
      <c r="D29" s="19"/>
      <c r="E29" s="19"/>
      <c r="F29" s="33" t="s">
        <v>139</v>
      </c>
      <c r="G29" s="33"/>
      <c r="H29" s="33"/>
      <c r="I29" s="33"/>
      <c r="J29" s="33"/>
      <c r="K29" s="1"/>
    </row>
    <row r="30" spans="1:11">
      <c r="A30" s="1"/>
      <c r="B30" s="1"/>
      <c r="C30" s="1"/>
      <c r="D30" s="1"/>
      <c r="E30" s="1"/>
      <c r="F30" s="1"/>
      <c r="G30" s="1"/>
      <c r="H30" s="1"/>
      <c r="I30" s="1"/>
      <c r="J30" s="1"/>
      <c r="K30" s="1"/>
    </row>
    <row r="31" spans="1:11">
      <c r="A31" s="1"/>
      <c r="B31" s="19" t="s">
        <v>120</v>
      </c>
      <c r="C31" s="19"/>
      <c r="D31" s="19"/>
      <c r="E31" s="19"/>
      <c r="F31" s="33" t="s">
        <v>141</v>
      </c>
      <c r="G31" s="33"/>
      <c r="H31" s="33"/>
      <c r="I31" s="33"/>
      <c r="J31" s="33"/>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ht="41.25" customHeight="1" thickBot="1">
      <c r="A52" s="1"/>
      <c r="B52" s="14" t="s">
        <v>121</v>
      </c>
      <c r="C52" s="14"/>
      <c r="D52" s="14"/>
      <c r="E52" s="14"/>
      <c r="F52" s="14"/>
      <c r="G52" s="14"/>
      <c r="H52" s="14"/>
      <c r="I52" s="14"/>
      <c r="J52" s="14"/>
      <c r="K52" s="1"/>
    </row>
    <row r="53" spans="1:11" ht="31.95" customHeight="1">
      <c r="A53" s="1"/>
      <c r="B53" s="51" t="s">
        <v>142</v>
      </c>
      <c r="C53" s="52"/>
      <c r="D53" s="52"/>
      <c r="E53" s="52"/>
      <c r="F53" s="52"/>
      <c r="G53" s="52"/>
      <c r="H53" s="52"/>
      <c r="I53" s="52"/>
      <c r="J53" s="53"/>
      <c r="K53" s="1"/>
    </row>
    <row r="54" spans="1:11" ht="31.95" customHeight="1">
      <c r="A54" s="1"/>
      <c r="B54" s="54"/>
      <c r="C54" s="55"/>
      <c r="D54" s="55"/>
      <c r="E54" s="55"/>
      <c r="F54" s="55"/>
      <c r="G54" s="55"/>
      <c r="H54" s="55"/>
      <c r="I54" s="55"/>
      <c r="J54" s="56"/>
      <c r="K54" s="1"/>
    </row>
    <row r="55" spans="1:11" ht="31.95" customHeight="1">
      <c r="A55" s="1"/>
      <c r="B55" s="54"/>
      <c r="C55" s="55"/>
      <c r="D55" s="55"/>
      <c r="E55" s="55"/>
      <c r="F55" s="55"/>
      <c r="G55" s="55"/>
      <c r="H55" s="55"/>
      <c r="I55" s="55"/>
      <c r="J55" s="56"/>
      <c r="K55" s="1"/>
    </row>
    <row r="56" spans="1:11" ht="31.95" customHeight="1" thickBot="1">
      <c r="A56" s="1"/>
      <c r="B56" s="57"/>
      <c r="C56" s="58"/>
      <c r="D56" s="58"/>
      <c r="E56" s="58"/>
      <c r="F56" s="58"/>
      <c r="G56" s="58"/>
      <c r="H56" s="58"/>
      <c r="I56" s="58"/>
      <c r="J56" s="59"/>
      <c r="K56" s="1"/>
    </row>
    <row r="57" spans="1:11">
      <c r="A57" s="1"/>
      <c r="B57" s="1"/>
      <c r="C57" s="1"/>
      <c r="D57" s="1"/>
      <c r="E57" s="1"/>
      <c r="F57" s="1"/>
      <c r="G57" s="1"/>
      <c r="H57" s="1"/>
      <c r="I57" s="1"/>
      <c r="J57" s="1"/>
      <c r="K57" s="1"/>
    </row>
    <row r="58" spans="1:11" ht="41.25" customHeight="1" thickBot="1">
      <c r="A58" s="1"/>
      <c r="B58" s="14" t="s">
        <v>122</v>
      </c>
      <c r="C58" s="14"/>
      <c r="D58" s="14"/>
      <c r="E58" s="14"/>
      <c r="F58" s="14"/>
      <c r="G58" s="14"/>
      <c r="H58" s="14"/>
      <c r="I58" s="14"/>
      <c r="J58" s="14"/>
      <c r="K58" s="1"/>
    </row>
    <row r="59" spans="1:11" ht="31.95" customHeight="1">
      <c r="A59" s="1"/>
      <c r="B59" s="51" t="s">
        <v>143</v>
      </c>
      <c r="C59" s="52"/>
      <c r="D59" s="52"/>
      <c r="E59" s="52"/>
      <c r="F59" s="52"/>
      <c r="G59" s="52"/>
      <c r="H59" s="52"/>
      <c r="I59" s="52"/>
      <c r="J59" s="53"/>
      <c r="K59" s="1"/>
    </row>
    <row r="60" spans="1:11" ht="31.95" customHeight="1">
      <c r="A60" s="1"/>
      <c r="B60" s="54"/>
      <c r="C60" s="55"/>
      <c r="D60" s="55"/>
      <c r="E60" s="55"/>
      <c r="F60" s="55"/>
      <c r="G60" s="55"/>
      <c r="H60" s="55"/>
      <c r="I60" s="55"/>
      <c r="J60" s="56"/>
      <c r="K60" s="1"/>
    </row>
    <row r="61" spans="1:11" ht="31.95" customHeight="1">
      <c r="A61" s="1"/>
      <c r="B61" s="54"/>
      <c r="C61" s="55"/>
      <c r="D61" s="55"/>
      <c r="E61" s="55"/>
      <c r="F61" s="55"/>
      <c r="G61" s="55"/>
      <c r="H61" s="55"/>
      <c r="I61" s="55"/>
      <c r="J61" s="56"/>
      <c r="K61" s="1"/>
    </row>
    <row r="62" spans="1:11" ht="31.95" customHeight="1" thickBot="1">
      <c r="A62" s="1"/>
      <c r="B62" s="57"/>
      <c r="C62" s="58"/>
      <c r="D62" s="58"/>
      <c r="E62" s="58"/>
      <c r="F62" s="58"/>
      <c r="G62" s="58"/>
      <c r="H62" s="58"/>
      <c r="I62" s="58"/>
      <c r="J62" s="59"/>
      <c r="K62" s="1"/>
    </row>
    <row r="63" spans="1:11">
      <c r="A63" s="1"/>
      <c r="B63" s="1"/>
      <c r="C63" s="1"/>
      <c r="D63" s="1"/>
      <c r="E63" s="1"/>
      <c r="F63" s="1"/>
      <c r="G63" s="1"/>
      <c r="H63" s="1"/>
      <c r="I63" s="1"/>
      <c r="J63" s="1"/>
      <c r="K63" s="1"/>
    </row>
    <row r="64" spans="1:11" ht="41.25" customHeight="1" thickBot="1">
      <c r="A64" s="1"/>
      <c r="B64" s="14" t="s">
        <v>123</v>
      </c>
      <c r="C64" s="14"/>
      <c r="D64" s="14"/>
      <c r="E64" s="14"/>
      <c r="F64" s="14"/>
      <c r="G64" s="14"/>
      <c r="H64" s="14"/>
      <c r="I64" s="14"/>
      <c r="J64" s="14"/>
      <c r="K64" s="1"/>
    </row>
    <row r="65" spans="1:11" ht="31.95" customHeight="1">
      <c r="A65" s="1"/>
      <c r="B65" s="51" t="s">
        <v>144</v>
      </c>
      <c r="C65" s="52"/>
      <c r="D65" s="52"/>
      <c r="E65" s="52"/>
      <c r="F65" s="52"/>
      <c r="G65" s="52"/>
      <c r="H65" s="52"/>
      <c r="I65" s="52"/>
      <c r="J65" s="53"/>
      <c r="K65" s="1"/>
    </row>
    <row r="66" spans="1:11" ht="31.95" customHeight="1">
      <c r="A66" s="1"/>
      <c r="B66" s="54"/>
      <c r="C66" s="55"/>
      <c r="D66" s="55"/>
      <c r="E66" s="55"/>
      <c r="F66" s="55"/>
      <c r="G66" s="55"/>
      <c r="H66" s="55"/>
      <c r="I66" s="55"/>
      <c r="J66" s="56"/>
      <c r="K66" s="1"/>
    </row>
    <row r="67" spans="1:11" ht="31.95" customHeight="1">
      <c r="A67" s="1"/>
      <c r="B67" s="54"/>
      <c r="C67" s="55"/>
      <c r="D67" s="55"/>
      <c r="E67" s="55"/>
      <c r="F67" s="55"/>
      <c r="G67" s="55"/>
      <c r="H67" s="55"/>
      <c r="I67" s="55"/>
      <c r="J67" s="56"/>
      <c r="K67" s="1"/>
    </row>
    <row r="68" spans="1:11" ht="31.95" customHeight="1" thickBot="1">
      <c r="A68" s="1"/>
      <c r="B68" s="57"/>
      <c r="C68" s="58"/>
      <c r="D68" s="58"/>
      <c r="E68" s="58"/>
      <c r="F68" s="58"/>
      <c r="G68" s="58"/>
      <c r="H68" s="58"/>
      <c r="I68" s="58"/>
      <c r="J68" s="59"/>
      <c r="K68" s="1"/>
    </row>
  </sheetData>
  <mergeCells count="20">
    <mergeCell ref="B2:J2"/>
    <mergeCell ref="B3:J3"/>
    <mergeCell ref="B4:J4"/>
    <mergeCell ref="B7:J7"/>
    <mergeCell ref="G10:J10"/>
    <mergeCell ref="C8:E8"/>
    <mergeCell ref="B13:J13"/>
    <mergeCell ref="B22:J22"/>
    <mergeCell ref="B23:J25"/>
    <mergeCell ref="B28:J28"/>
    <mergeCell ref="B29:E29"/>
    <mergeCell ref="F29:J29"/>
    <mergeCell ref="B59:J62"/>
    <mergeCell ref="B64:J64"/>
    <mergeCell ref="B65:J68"/>
    <mergeCell ref="B31:E31"/>
    <mergeCell ref="F31:J31"/>
    <mergeCell ref="B52:J52"/>
    <mergeCell ref="B53:J56"/>
    <mergeCell ref="B58:J58"/>
  </mergeCells>
  <hyperlinks>
    <hyperlink ref="G10" r:id="rId1" xr:uid="{8C4656F0-3C04-4C13-9E3E-399E0B030737}"/>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E1 Producción</vt:lpstr>
      <vt:lpstr>E2 Gasto</vt:lpstr>
      <vt:lpstr>E3 Ingreso</vt:lpstr>
      <vt:lpstr>E4 Tres enfoques</vt:lpstr>
      <vt:lpstr>E5 Guatemala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Alejandra Perez</cp:lastModifiedBy>
  <dcterms:modified xsi:type="dcterms:W3CDTF">2026-08-29T14:22:36Z</dcterms:modified>
</cp:coreProperties>
</file>