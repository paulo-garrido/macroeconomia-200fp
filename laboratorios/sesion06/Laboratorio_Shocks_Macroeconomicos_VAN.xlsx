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paulogarridogrijalva/Downloads/"/>
    </mc:Choice>
  </mc:AlternateContent>
  <xr:revisionPtr revIDLastSave="0" documentId="13_ncr:1_{4AA78E2E-580D-6C46-A295-D17F848DD54D}" xr6:coauthVersionLast="47" xr6:coauthVersionMax="47" xr10:uidLastSave="{00000000-0000-0000-0000-000000000000}"/>
  <bookViews>
    <workbookView xWindow="0" yWindow="660" windowWidth="30240" windowHeight="18980" xr2:uid="{00000000-000D-0000-FFFF-FFFF00000000}"/>
  </bookViews>
  <sheets>
    <sheet name="Inicio" sheetId="1" r:id="rId1"/>
    <sheet name="G1 Hotel" sheetId="2" r:id="rId2"/>
    <sheet name="G2 Agroindustria" sheetId="3" r:id="rId3"/>
    <sheet name="G3 Consumo" sheetId="4" r:id="rId4"/>
    <sheet name="G4 Solar" sheetId="5" r:id="rId5"/>
    <sheet name="Comparació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5" l="1"/>
  <c r="B35" i="5"/>
  <c r="B49" i="4"/>
  <c r="B48" i="4"/>
  <c r="D8" i="6" s="1"/>
  <c r="G8" i="6" s="1"/>
  <c r="B49" i="3"/>
  <c r="B48" i="3"/>
  <c r="D7" i="6" s="1"/>
  <c r="G7" i="6" s="1"/>
  <c r="B49" i="2"/>
  <c r="B48" i="2"/>
  <c r="D6" i="6" s="1"/>
  <c r="G6" i="6" s="1"/>
  <c r="E9" i="6" l="1"/>
  <c r="B37" i="5"/>
  <c r="B38" i="5"/>
  <c r="D9" i="6"/>
  <c r="G9" i="6" s="1"/>
  <c r="E8" i="6"/>
  <c r="F8" i="6" s="1"/>
  <c r="B50" i="4"/>
  <c r="E7" i="6"/>
  <c r="F7" i="6" s="1"/>
  <c r="B50" i="3"/>
  <c r="E6" i="6"/>
  <c r="F6" i="6" s="1"/>
  <c r="B50" i="2"/>
  <c r="F9" i="6" l="1"/>
</calcChain>
</file>

<file path=xl/sharedStrings.xml><?xml version="1.0" encoding="utf-8"?>
<sst xmlns="http://schemas.openxmlformats.org/spreadsheetml/2006/main" count="324" uniqueCount="145">
  <si>
    <t>LABORATORIO · CHOQUES MACROECONÓMICOS Y VAN</t>
  </si>
  <si>
    <t>Macroeconomía 200 FP · Maestría en Formulación y Evaluación de Proyectos</t>
  </si>
  <si>
    <t>Propósito</t>
  </si>
  <si>
    <t>Analizar cómo un choque macroeconómico modifica los supuestos de un proyecto y, por esa vía, altera sus flujos de efectivo y su Valor Actual Neto (VAN). El énfasis está en identificar el canal de transmisión: shock → variable del proyecto → flujo → VAN.</t>
  </si>
  <si>
    <t>Secuencia de trabajo</t>
  </si>
  <si>
    <t>1</t>
  </si>
  <si>
    <t>Construya el flujo del escenario base.</t>
  </si>
  <si>
    <t>Convenciones del archivo</t>
  </si>
  <si>
    <t>2</t>
  </si>
  <si>
    <t>Calcule el VAN base.</t>
  </si>
  <si>
    <t>Dato / supuesto</t>
  </si>
  <si>
    <t>Texto azul</t>
  </si>
  <si>
    <t>Valor entregado por el caso.</t>
  </si>
  <si>
    <t>3</t>
  </si>
  <si>
    <t>Identifique el tipo de choque y la variable afectada.</t>
  </si>
  <si>
    <t>Shock</t>
  </si>
  <si>
    <t>Fondo rosado</t>
  </si>
  <si>
    <t>Cambio asociado al escenario adverso.</t>
  </si>
  <si>
    <t>4</t>
  </si>
  <si>
    <t>Aplique el shock únicamente a las variables pertinentes.</t>
  </si>
  <si>
    <t>Cálculo</t>
  </si>
  <si>
    <t>Celda blanca</t>
  </si>
  <si>
    <t>Construya la fórmula en Excel.</t>
  </si>
  <si>
    <t>5</t>
  </si>
  <si>
    <t>Recalcule el flujo y el VAN bajo shock.</t>
  </si>
  <si>
    <t>Resultado</t>
  </si>
  <si>
    <t>Bloque resumen</t>
  </si>
  <si>
    <t>Use para discutir el impacto sobre el VAN.</t>
  </si>
  <si>
    <t>6</t>
  </si>
  <si>
    <t>Mida el cambio absoluto y porcentual del VAN.</t>
  </si>
  <si>
    <t>7</t>
  </si>
  <si>
    <t>Explique el principal canal de vulnerabilidad del proyecto.</t>
  </si>
  <si>
    <t>Los datos son ficticios y se utilizan únicamente con fines académicos. No se incorporan impuestos, depreciaciones, capital de trabajo detallado ni estructura de deuda. Trabaje con un horizonte de 5 años y utilice el valor residual indicado en cada caso.</t>
  </si>
  <si>
    <t>GRUPO 1 · PROYECTO HOTELERO</t>
  </si>
  <si>
    <t>Shock de demanda · ocupación y tarifa</t>
  </si>
  <si>
    <t>Supuestos del escenario base</t>
  </si>
  <si>
    <t>Choque macroeconómico</t>
  </si>
  <si>
    <t>Variable</t>
  </si>
  <si>
    <t>Dato</t>
  </si>
  <si>
    <t>Año</t>
  </si>
  <si>
    <t>Ocupación</t>
  </si>
  <si>
    <t>Δ tarifa</t>
  </si>
  <si>
    <t>Habitaciones disponibles</t>
  </si>
  <si>
    <t>Ocupación promedio</t>
  </si>
  <si>
    <t>Tarifa promedio por noche</t>
  </si>
  <si>
    <t>Costo variable por habitación ocupada</t>
  </si>
  <si>
    <t>Costos fijos anuales</t>
  </si>
  <si>
    <t>Mantenimiento anual</t>
  </si>
  <si>
    <t>Inversión inicial</t>
  </si>
  <si>
    <t>Shock: una desaceleración regional reduce los viajes y el turismo. La ocupación cae y el hotel debe ajustar temporalmente la tarifa.</t>
  </si>
  <si>
    <t>Valor residual (año 5)</t>
  </si>
  <si>
    <t>Tasa de descuento</t>
  </si>
  <si>
    <t>Escenario base</t>
  </si>
  <si>
    <t>Concepto</t>
  </si>
  <si>
    <t>Año 0</t>
  </si>
  <si>
    <t>Año 1</t>
  </si>
  <si>
    <t>Año 2</t>
  </si>
  <si>
    <t>Año 3</t>
  </si>
  <si>
    <t>Año 4</t>
  </si>
  <si>
    <t>Año 5</t>
  </si>
  <si>
    <t>Tarifa promedio</t>
  </si>
  <si>
    <t>Habitaciones ocupadas</t>
  </si>
  <si>
    <t>Ingresos</t>
  </si>
  <si>
    <t>Costo variable</t>
  </si>
  <si>
    <t>Costos fijos</t>
  </si>
  <si>
    <t>Mantenimiento</t>
  </si>
  <si>
    <t>Flujo neto</t>
  </si>
  <si>
    <t>Factor de descuento</t>
  </si>
  <si>
    <t>Valor presente del flujo</t>
  </si>
  <si>
    <t>Valor residual</t>
  </si>
  <si>
    <t>VAN</t>
  </si>
  <si>
    <t>Escenario bajo shock</t>
  </si>
  <si>
    <t>Resultados para discusión</t>
  </si>
  <si>
    <t>Indicador</t>
  </si>
  <si>
    <t>Canal</t>
  </si>
  <si>
    <t>VAN base</t>
  </si>
  <si>
    <t>Solo menor ocupación</t>
  </si>
  <si>
    <t>VAN bajo shock</t>
  </si>
  <si>
    <t>Solo menor tarifa</t>
  </si>
  <si>
    <t>Variación del VAN</t>
  </si>
  <si>
    <t>Shock completo</t>
  </si>
  <si>
    <t>Conclusión del grupo (máximo 150 palabras): identifique el tipo de shock, el principal canal de transmisión, la magnitud del cambio del VAN y la variable que debería gestionarse prioritariamente.</t>
  </si>
  <si>
    <t>GRUPO 2 · PLANTA AGROINDUSTRIAL</t>
  </si>
  <si>
    <t>Shock adverso de oferta · costos variables</t>
  </si>
  <si>
    <t>Δ costo variable</t>
  </si>
  <si>
    <t>Unidades vendidas por año</t>
  </si>
  <si>
    <t>Precio por unidad</t>
  </si>
  <si>
    <t>Costo variable por unidad</t>
  </si>
  <si>
    <t>Shock: aumentan combustibles, empaques y transporte. El costo variable unitario sube y la empresa no puede trasladar inicialmente el incremento al precio.</t>
  </si>
  <si>
    <t>Unidades vendidas</t>
  </si>
  <si>
    <t>Precio unitario</t>
  </si>
  <si>
    <t>Costo variable unitario</t>
  </si>
  <si>
    <t>Costo variable total</t>
  </si>
  <si>
    <t>Análisis adicional</t>
  </si>
  <si>
    <t>Supuesto adicional</t>
  </si>
  <si>
    <t>Margen unitario base</t>
  </si>
  <si>
    <t>Traslado del aumento de costo al precio</t>
  </si>
  <si>
    <t>Margen unitario bajo shock (año 1)</t>
  </si>
  <si>
    <t>Use este supuesto únicamente para responder la pregunta de traslado parcial.</t>
  </si>
  <si>
    <t>VAN con traslado parcial al precio</t>
  </si>
  <si>
    <t>Conclusión del grupo (máximo 150 palabras): explique cómo el shock de costos afecta el margen, el flujo y el VAN, y qué capacidad de ajuste de precios tendría valor estratégico para el proyecto.</t>
  </si>
  <si>
    <t>GRUPO 3 · BIENES DE CONSUMO</t>
  </si>
  <si>
    <t>Shock de demanda · volumen y precio</t>
  </si>
  <si>
    <t>Δ volumen</t>
  </si>
  <si>
    <t>Δ precio</t>
  </si>
  <si>
    <t>Shock: se desacelera el ingreso de los hogares. Disminuye el volumen vendido y la empresa realiza descuentos temporales para sostener la demanda.</t>
  </si>
  <si>
    <t>Solo menor volumen</t>
  </si>
  <si>
    <t>Solo menor precio</t>
  </si>
  <si>
    <t>Conclusión del grupo (máximo 150 palabras): compare el efecto del volumen y del precio sobre el VAN e identifique cuál de los dos canales explica la mayor pérdida de valor.</t>
  </si>
  <si>
    <t>GRUPO 4 · GENERACIÓN SOLAR</t>
  </si>
  <si>
    <t>Shock financiero · aumento de la tasa de descuento</t>
  </si>
  <si>
    <t>Las condiciones financieras se endurecen. El costo de capital requerido para proyectos de este tipo aumenta de 9.0% a 12.5%. Los flujos operativos esperados no cambian.</t>
  </si>
  <si>
    <t>Flujo anual esperado</t>
  </si>
  <si>
    <t>Horizonte</t>
  </si>
  <si>
    <t>Tasa de descuento base</t>
  </si>
  <si>
    <t>Tasa de descuento bajo shock</t>
  </si>
  <si>
    <t>Flujo operativo</t>
  </si>
  <si>
    <t>VAN con tasa 12.5%</t>
  </si>
  <si>
    <t>Pérdida absoluta de valor</t>
  </si>
  <si>
    <t>Pérdida porcentual</t>
  </si>
  <si>
    <t>Conclusión del grupo (máximo 150 palabras): explique por qué el VAN puede disminuir aunque el flujo operativo no cambie e identifique la variable macrofinanciera que debería monitorearse con mayor atención.</t>
  </si>
  <si>
    <t>COMPARACIÓN DE RESULTADOS</t>
  </si>
  <si>
    <t>Una misma economía, distintos canales de transmisión hacia el VAN</t>
  </si>
  <si>
    <t>Matriz comparativa</t>
  </si>
  <si>
    <t>Proyecto</t>
  </si>
  <si>
    <t>Shock dominante</t>
  </si>
  <si>
    <t>Variable afectada</t>
  </si>
  <si>
    <t>VAN shock</t>
  </si>
  <si>
    <t>Δ VAN</t>
  </si>
  <si>
    <t>% Δ VAN</t>
  </si>
  <si>
    <t>Hotel</t>
  </si>
  <si>
    <t>Demanda</t>
  </si>
  <si>
    <t>Ocupación / tarifa</t>
  </si>
  <si>
    <t>Agroindustria</t>
  </si>
  <si>
    <t>Oferta</t>
  </si>
  <si>
    <t>Bienes de consumo</t>
  </si>
  <si>
    <t>Volumen / precio</t>
  </si>
  <si>
    <t>Generación solar</t>
  </si>
  <si>
    <t>Financiero</t>
  </si>
  <si>
    <t>Lectura conjunta</t>
  </si>
  <si>
    <t>Use esta hoja al final de las exposiciones. Compare no solo qué proyecto pierde más VAN, sino por qué. El objetivo es distinguir si la vulnerabilidad proviene de ventas, ocupación, precios, costos o del costo de capital.</t>
  </si>
  <si>
    <t>GRUPO E INTEGRANTES</t>
  </si>
  <si>
    <t>Carnet</t>
  </si>
  <si>
    <t>Nombre completo</t>
  </si>
  <si>
    <t>Coordinador (solo el coordinador sube el laboratorio)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</si>
</sst>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Red]\(0%\);\-"/>
    <numFmt numFmtId="166" formatCode="\Q\ #,##0;[Red]\(\Q\ #,##0\);\-"/>
    <numFmt numFmtId="167" formatCode="0.0%;[Red]\(0.0%\);\-"/>
  </numFmts>
  <fonts count="16">
    <font>
      <sz val="11"/>
      <name val="Carlito"/>
    </font>
    <font>
      <b/>
      <sz val="16"/>
      <color rgb="FFFFFFFF"/>
      <name val="Carlito"/>
    </font>
    <font>
      <b/>
      <sz val="11"/>
      <color rgb="FF17365D"/>
      <name val="Carlito"/>
    </font>
    <font>
      <b/>
      <sz val="10"/>
      <color rgb="FF17365D"/>
      <name val="Carlito"/>
    </font>
    <font>
      <sz val="10"/>
      <color rgb="FF27323A"/>
      <name val="Carlito"/>
    </font>
    <font>
      <sz val="9"/>
      <color rgb="FF27323A"/>
      <name val="Carlito"/>
    </font>
    <font>
      <b/>
      <sz val="9"/>
      <color rgb="FFFFFFFF"/>
      <name val="Carlito"/>
    </font>
    <font>
      <sz val="9"/>
      <color rgb="FF000000"/>
      <name val="Carlito"/>
    </font>
    <font>
      <b/>
      <sz val="9"/>
      <color rgb="FF27323A"/>
      <name val="Carlito"/>
    </font>
    <font>
      <i/>
      <sz val="9"/>
      <color rgb="FF667085"/>
      <name val="Carlito"/>
    </font>
    <font>
      <sz val="9"/>
      <color rgb="FF0000FF"/>
      <name val="Carlito"/>
    </font>
    <font>
      <b/>
      <sz val="10"/>
      <color rgb="FF8C2F39"/>
      <name val="Carlito"/>
    </font>
    <font>
      <b/>
      <sz val="12"/>
      <color rgb="FF000000"/>
      <name val="Carlito"/>
    </font>
    <font>
      <b/>
      <sz val="11"/>
      <color rgb="FF000000"/>
      <name val="Carlito"/>
    </font>
    <font>
      <sz val="9"/>
      <color rgb="FF008000"/>
      <name val="Carlito"/>
    </font>
    <font>
      <sz val="9"/>
      <color rgb="FFFF0000"/>
      <name val="Carlito"/>
    </font>
  </fonts>
  <fills count="10">
    <fill>
      <patternFill patternType="none"/>
    </fill>
    <fill>
      <patternFill patternType="gray125"/>
    </fill>
    <fill>
      <patternFill patternType="solid">
        <fgColor rgb="FF17365D"/>
      </patternFill>
    </fill>
    <fill>
      <patternFill patternType="solid">
        <fgColor rgb="FFEEF4F8"/>
      </patternFill>
    </fill>
    <fill>
      <patternFill patternType="solid">
        <fgColor rgb="FF244A73"/>
      </patternFill>
    </fill>
    <fill>
      <patternFill patternType="solid">
        <fgColor rgb="FFFFFFFF"/>
      </patternFill>
    </fill>
    <fill>
      <patternFill patternType="solid">
        <fgColor rgb="FFFBF7EF"/>
      </patternFill>
    </fill>
    <fill>
      <patternFill patternType="solid">
        <fgColor rgb="FFFBECEC"/>
      </patternFill>
    </fill>
    <fill>
      <patternFill patternType="solid">
        <fgColor rgb="FFF5F6F7"/>
      </patternFill>
    </fill>
    <fill>
      <patternFill patternType="solid">
        <fgColor rgb="FFEEF6F2"/>
      </patternFill>
    </fill>
  </fills>
  <borders count="19">
    <border>
      <left/>
      <right/>
      <top/>
      <bottom/>
      <diagonal/>
    </border>
    <border>
      <left/>
      <right/>
      <top/>
      <bottom style="thin">
        <color rgb="FFD7DEE6"/>
      </bottom>
      <diagonal/>
    </border>
    <border>
      <left style="thin">
        <color rgb="FFD7DEE6"/>
      </left>
      <right/>
      <top style="thin">
        <color rgb="FFD7DEE6"/>
      </top>
      <bottom/>
      <diagonal/>
    </border>
    <border>
      <left/>
      <right/>
      <top style="thin">
        <color rgb="FFD7DEE6"/>
      </top>
      <bottom/>
      <diagonal/>
    </border>
    <border>
      <left/>
      <right style="thin">
        <color rgb="FFD7DEE6"/>
      </right>
      <top style="thin">
        <color rgb="FFD7DEE6"/>
      </top>
      <bottom/>
      <diagonal/>
    </border>
    <border>
      <left style="thin">
        <color rgb="FFD7DEE6"/>
      </left>
      <right/>
      <top/>
      <bottom/>
      <diagonal/>
    </border>
    <border>
      <left/>
      <right style="thin">
        <color rgb="FFD7DEE6"/>
      </right>
      <top/>
      <bottom/>
      <diagonal/>
    </border>
    <border>
      <left style="thin">
        <color rgb="FFD7DEE6"/>
      </left>
      <right/>
      <top/>
      <bottom style="thin">
        <color rgb="FFD7DEE6"/>
      </bottom>
      <diagonal/>
    </border>
    <border>
      <left/>
      <right style="thin">
        <color rgb="FFD7DEE6"/>
      </right>
      <top/>
      <bottom style="thin">
        <color rgb="FFD7DEE6"/>
      </bottom>
      <diagonal/>
    </border>
    <border>
      <left style="thin">
        <color rgb="FFD7DEE6"/>
      </left>
      <right style="thin">
        <color rgb="FFD7DEE6"/>
      </right>
      <top style="thin">
        <color rgb="FFD7DEE6"/>
      </top>
      <bottom style="thin">
        <color rgb="FFD7DEE6"/>
      </bottom>
      <diagonal/>
    </border>
    <border>
      <left style="thin">
        <color rgb="FFD7DEE6"/>
      </left>
      <right/>
      <top style="thin">
        <color rgb="FFD7DEE6"/>
      </top>
      <bottom style="thin">
        <color rgb="FFD7DEE6"/>
      </bottom>
      <diagonal/>
    </border>
    <border>
      <left/>
      <right/>
      <top style="thin">
        <color rgb="FFD7DEE6"/>
      </top>
      <bottom style="thin">
        <color rgb="FFD7DEE6"/>
      </bottom>
      <diagonal/>
    </border>
    <border>
      <left/>
      <right style="thin">
        <color rgb="FFD7DEE6"/>
      </right>
      <top style="thin">
        <color rgb="FFD7DEE6"/>
      </top>
      <bottom style="thin">
        <color rgb="FFD7DEE6"/>
      </bottom>
      <diagonal/>
    </border>
    <border>
      <left style="thin">
        <color rgb="FFD7DEE6"/>
      </left>
      <right style="thin">
        <color rgb="FFD7DEE6"/>
      </right>
      <top style="thin">
        <color rgb="FFD7DEE6"/>
      </top>
      <bottom/>
      <diagonal/>
    </border>
    <border>
      <left style="thin">
        <color rgb="FFD7DEE6"/>
      </left>
      <right style="thin">
        <color rgb="FFD7DEE6"/>
      </right>
      <top/>
      <bottom/>
      <diagonal/>
    </border>
    <border>
      <left style="thin">
        <color rgb="FFD7DEE6"/>
      </left>
      <right style="thin">
        <color rgb="FFD7DEE6"/>
      </right>
      <top/>
      <bottom style="thin">
        <color rgb="FFD7DEE6"/>
      </bottom>
      <diagonal/>
    </border>
    <border>
      <left style="thin">
        <color rgb="FF2F6F6D"/>
      </left>
      <right/>
      <top style="thin">
        <color rgb="FF2F6F6D"/>
      </top>
      <bottom style="thin">
        <color rgb="FF2F6F6D"/>
      </bottom>
      <diagonal/>
    </border>
    <border>
      <left/>
      <right/>
      <top style="thin">
        <color rgb="FF2F6F6D"/>
      </top>
      <bottom style="thin">
        <color rgb="FF2F6F6D"/>
      </bottom>
      <diagonal/>
    </border>
    <border>
      <left/>
      <right style="thin">
        <color rgb="FF2F6F6D"/>
      </right>
      <top style="thin">
        <color rgb="FF2F6F6D"/>
      </top>
      <bottom style="thin">
        <color rgb="FF2F6F6D"/>
      </bottom>
      <diagonal/>
    </border>
  </borders>
  <cellStyleXfs count="1">
    <xf numFmtId="0" fontId="0" fillId="0" borderId="0"/>
  </cellStyleXfs>
  <cellXfs count="63">
    <xf numFmtId="0" fontId="0" fillId="0" borderId="0" xfId="0"/>
    <xf numFmtId="0" fontId="2" fillId="3" borderId="0" xfId="0" applyFont="1" applyFill="1" applyAlignment="1">
      <alignment horizontal="center"/>
    </xf>
    <xf numFmtId="0" fontId="5" fillId="0" borderId="0" xfId="0" applyFont="1" applyAlignment="1">
      <alignment vertical="center"/>
    </xf>
    <xf numFmtId="0" fontId="6" fillId="4" borderId="0" xfId="0" applyFont="1" applyFill="1" applyAlignment="1">
      <alignment horizontal="center" vertical="center" wrapText="1"/>
    </xf>
    <xf numFmtId="0" fontId="7" fillId="5" borderId="0" xfId="0" applyFont="1" applyFill="1"/>
    <xf numFmtId="0" fontId="7" fillId="5" borderId="3" xfId="0" applyFont="1" applyFill="1" applyBorder="1"/>
    <xf numFmtId="0" fontId="7" fillId="5" borderId="4" xfId="0" applyFont="1" applyFill="1" applyBorder="1"/>
    <xf numFmtId="0" fontId="7" fillId="5" borderId="6" xfId="0" applyFont="1" applyFill="1" applyBorder="1"/>
    <xf numFmtId="0" fontId="7" fillId="5" borderId="1" xfId="0" applyFont="1" applyFill="1" applyBorder="1"/>
    <xf numFmtId="0" fontId="7" fillId="5" borderId="8" xfId="0" applyFont="1" applyFill="1" applyBorder="1"/>
    <xf numFmtId="0" fontId="8" fillId="5" borderId="2" xfId="0" applyFont="1" applyFill="1" applyBorder="1"/>
    <xf numFmtId="0" fontId="8" fillId="5" borderId="5" xfId="0" applyFont="1" applyFill="1" applyBorder="1"/>
    <xf numFmtId="0" fontId="8" fillId="5" borderId="7" xfId="0" applyFont="1" applyFill="1" applyBorder="1"/>
    <xf numFmtId="0" fontId="9" fillId="5" borderId="3" xfId="0" applyFont="1" applyFill="1" applyBorder="1"/>
    <xf numFmtId="0" fontId="9" fillId="5" borderId="0" xfId="0" applyFont="1" applyFill="1"/>
    <xf numFmtId="0" fontId="9" fillId="5" borderId="1" xfId="0" applyFont="1" applyFill="1" applyBorder="1"/>
    <xf numFmtId="164" fontId="10" fillId="6" borderId="9" xfId="0" applyNumberFormat="1" applyFont="1" applyFill="1" applyBorder="1"/>
    <xf numFmtId="165" fontId="10" fillId="6" borderId="9" xfId="0" applyNumberFormat="1" applyFont="1" applyFill="1" applyBorder="1"/>
    <xf numFmtId="166" fontId="10" fillId="6" borderId="9" xfId="0" applyNumberFormat="1" applyFont="1" applyFill="1" applyBorder="1"/>
    <xf numFmtId="167" fontId="10" fillId="6" borderId="9" xfId="0" applyNumberFormat="1" applyFont="1" applyFill="1" applyBorder="1"/>
    <xf numFmtId="0" fontId="10" fillId="7" borderId="10" xfId="0" applyFont="1" applyFill="1" applyBorder="1"/>
    <xf numFmtId="165" fontId="10" fillId="7" borderId="11" xfId="0" applyNumberFormat="1" applyFont="1" applyFill="1" applyBorder="1"/>
    <xf numFmtId="165" fontId="10" fillId="7" borderId="12" xfId="0" applyNumberFormat="1" applyFont="1" applyFill="1" applyBorder="1"/>
    <xf numFmtId="167" fontId="7" fillId="5" borderId="11" xfId="0" applyNumberFormat="1" applyFont="1" applyFill="1" applyBorder="1"/>
    <xf numFmtId="167" fontId="7" fillId="5" borderId="12" xfId="0" applyNumberFormat="1" applyFont="1" applyFill="1" applyBorder="1"/>
    <xf numFmtId="166" fontId="7" fillId="5" borderId="11" xfId="0" applyNumberFormat="1" applyFont="1" applyFill="1" applyBorder="1"/>
    <xf numFmtId="166" fontId="7" fillId="5" borderId="12" xfId="0" applyNumberFormat="1" applyFont="1" applyFill="1" applyBorder="1"/>
    <xf numFmtId="164" fontId="7" fillId="5" borderId="11" xfId="0" applyNumberFormat="1" applyFont="1" applyFill="1" applyBorder="1"/>
    <xf numFmtId="164" fontId="7" fillId="5" borderId="12" xfId="0" applyNumberFormat="1" applyFont="1" applyFill="1" applyBorder="1"/>
    <xf numFmtId="167" fontId="7" fillId="8" borderId="10" xfId="0" applyNumberFormat="1" applyFont="1" applyFill="1" applyBorder="1"/>
    <xf numFmtId="166" fontId="7" fillId="8" borderId="10" xfId="0" applyNumberFormat="1" applyFont="1" applyFill="1" applyBorder="1"/>
    <xf numFmtId="164" fontId="7" fillId="8" borderId="10" xfId="0" applyNumberFormat="1" applyFont="1" applyFill="1" applyBorder="1"/>
    <xf numFmtId="166" fontId="7" fillId="5" borderId="9" xfId="0" applyNumberFormat="1" applyFont="1" applyFill="1" applyBorder="1"/>
    <xf numFmtId="166" fontId="12" fillId="5" borderId="13" xfId="0" applyNumberFormat="1" applyFont="1" applyFill="1" applyBorder="1" applyAlignment="1">
      <alignment horizontal="center" vertical="center"/>
    </xf>
    <xf numFmtId="166" fontId="12" fillId="5" borderId="14" xfId="0" applyNumberFormat="1" applyFont="1" applyFill="1" applyBorder="1" applyAlignment="1">
      <alignment horizontal="center" vertical="center"/>
    </xf>
    <xf numFmtId="166" fontId="12" fillId="5" borderId="15" xfId="0" applyNumberFormat="1" applyFont="1" applyFill="1" applyBorder="1" applyAlignment="1">
      <alignment horizontal="center" vertical="center"/>
    </xf>
    <xf numFmtId="166" fontId="7" fillId="5" borderId="13" xfId="0" applyNumberFormat="1" applyFont="1" applyFill="1" applyBorder="1"/>
    <xf numFmtId="166" fontId="7" fillId="5" borderId="14" xfId="0" applyNumberFormat="1" applyFont="1" applyFill="1" applyBorder="1"/>
    <xf numFmtId="166" fontId="7" fillId="5" borderId="15" xfId="0" applyNumberFormat="1" applyFont="1" applyFill="1" applyBorder="1"/>
    <xf numFmtId="167" fontId="12" fillId="5" borderId="15" xfId="0" applyNumberFormat="1" applyFont="1" applyFill="1" applyBorder="1" applyAlignment="1">
      <alignment horizontal="center" vertical="center"/>
    </xf>
    <xf numFmtId="166" fontId="7" fillId="5" borderId="3" xfId="0" applyNumberFormat="1" applyFont="1" applyFill="1" applyBorder="1"/>
    <xf numFmtId="166" fontId="7" fillId="5" borderId="0" xfId="0" applyNumberFormat="1" applyFont="1" applyFill="1"/>
    <xf numFmtId="166" fontId="7" fillId="5" borderId="1" xfId="0" applyNumberFormat="1" applyFont="1" applyFill="1" applyBorder="1"/>
    <xf numFmtId="167" fontId="7" fillId="5" borderId="4" xfId="0" applyNumberFormat="1" applyFont="1" applyFill="1" applyBorder="1"/>
    <xf numFmtId="167" fontId="7" fillId="5" borderId="6" xfId="0" applyNumberFormat="1" applyFont="1" applyFill="1" applyBorder="1"/>
    <xf numFmtId="167" fontId="7" fillId="5" borderId="8" xfId="0" applyNumberFormat="1" applyFont="1" applyFill="1" applyBorder="1"/>
    <xf numFmtId="166" fontId="14" fillId="5" borderId="2" xfId="0" applyNumberFormat="1" applyFont="1" applyFill="1" applyBorder="1"/>
    <xf numFmtId="166" fontId="14" fillId="5" borderId="3" xfId="0" applyNumberFormat="1" applyFont="1" applyFill="1" applyBorder="1"/>
    <xf numFmtId="166" fontId="14" fillId="5" borderId="5" xfId="0" applyNumberFormat="1" applyFont="1" applyFill="1" applyBorder="1"/>
    <xf numFmtId="166" fontId="14" fillId="5" borderId="0" xfId="0" applyNumberFormat="1" applyFont="1" applyFill="1"/>
    <xf numFmtId="166" fontId="14" fillId="5" borderId="7" xfId="0" applyNumberFormat="1" applyFont="1" applyFill="1" applyBorder="1"/>
    <xf numFmtId="166" fontId="14" fillId="5" borderId="1" xfId="0" applyNumberFormat="1" applyFont="1" applyFill="1" applyBorder="1"/>
    <xf numFmtId="0" fontId="1" fillId="2" borderId="0" xfId="0" applyFont="1" applyFill="1" applyAlignment="1">
      <alignment vertical="center"/>
    </xf>
    <xf numFmtId="0" fontId="2" fillId="0" borderId="0" xfId="0" applyFont="1" applyAlignment="1">
      <alignment vertical="center"/>
    </xf>
    <xf numFmtId="0" fontId="3" fillId="3" borderId="1" xfId="0" applyFont="1" applyFill="1" applyBorder="1" applyAlignment="1">
      <alignment vertical="center"/>
    </xf>
    <xf numFmtId="0" fontId="4" fillId="0" borderId="0" xfId="0" applyFont="1" applyAlignment="1">
      <alignment vertical="top" wrapText="1"/>
    </xf>
    <xf numFmtId="0" fontId="6" fillId="4" borderId="0" xfId="0" applyFont="1" applyFill="1" applyAlignment="1">
      <alignment horizontal="center" vertical="center" wrapText="1"/>
    </xf>
    <xf numFmtId="0" fontId="9" fillId="6" borderId="0" xfId="0" applyFont="1" applyFill="1" applyAlignment="1">
      <alignment vertical="top" wrapText="1"/>
    </xf>
    <xf numFmtId="0" fontId="11" fillId="7" borderId="1" xfId="0" applyFont="1" applyFill="1" applyBorder="1" applyAlignment="1">
      <alignment vertical="center"/>
    </xf>
    <xf numFmtId="166" fontId="13" fillId="9" borderId="16" xfId="0" applyNumberFormat="1" applyFont="1" applyFill="1" applyBorder="1" applyAlignment="1">
      <alignment horizontal="center" vertical="center"/>
    </xf>
    <xf numFmtId="166" fontId="13" fillId="9" borderId="17" xfId="0" applyNumberFormat="1" applyFont="1" applyFill="1" applyBorder="1" applyAlignment="1">
      <alignment horizontal="center" vertical="center"/>
    </xf>
    <xf numFmtId="166" fontId="13" fillId="9" borderId="18" xfId="0" applyNumberFormat="1" applyFont="1" applyFill="1" applyBorder="1" applyAlignment="1">
      <alignment horizontal="center" vertical="center"/>
    </xf>
    <xf numFmtId="0" fontId="15" fillId="0" borderId="0" xfId="0" applyFont="1" applyAlignment="1">
      <alignment vertical="center"/>
    </xf>
  </cellXfs>
  <cellStyles count="1">
    <cellStyle name="Normal" xfId="0" builtinId="0"/>
  </cellStyles>
  <dxfs count="2">
    <dxf>
      <font>
        <b/>
        <color rgb="FF217A4A"/>
      </font>
      <fill>
        <patternFill patternType="solid">
          <bgColor rgb="FFEAF5EE"/>
        </patternFill>
      </fill>
    </dxf>
    <dxf>
      <font>
        <b/>
        <color rgb="FFB42318"/>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0"/>
        <c:ser>
          <c:idx val="0"/>
          <c:order val="0"/>
          <c:tx>
            <c:v>VAN base</c:v>
          </c:tx>
          <c:invertIfNegative val="1"/>
          <c:cat>
            <c:strRef>
              <c:f>Comparación!$A$6:$A$9</c:f>
              <c:strCache>
                <c:ptCount val="4"/>
                <c:pt idx="0">
                  <c:v>Hotel</c:v>
                </c:pt>
                <c:pt idx="1">
                  <c:v>Agroindustria</c:v>
                </c:pt>
                <c:pt idx="2">
                  <c:v>Bienes de consumo</c:v>
                </c:pt>
                <c:pt idx="3">
                  <c:v>Generación solar</c:v>
                </c:pt>
              </c:strCache>
            </c:strRef>
          </c:cat>
          <c:val>
            <c:numRef>
              <c:f>Comparación!$D$6:$D$9</c:f>
              <c:numCache>
                <c:formatCode>\Q\ #,##0;[Red]\(\Q\ #,##0\);\-</c:formatCode>
                <c:ptCount val="4"/>
                <c:pt idx="0">
                  <c:v>0</c:v>
                </c:pt>
                <c:pt idx="1">
                  <c:v>0</c:v>
                </c:pt>
                <c:pt idx="2">
                  <c:v>0</c:v>
                </c:pt>
                <c:pt idx="3">
                  <c:v>0</c:v>
                </c:pt>
              </c:numCache>
            </c:numRef>
          </c:val>
          <c:extLst>
            <c:ext xmlns:c16="http://schemas.microsoft.com/office/drawing/2014/chart" uri="{C3380CC4-5D6E-409C-BE32-E72D297353CC}">
              <c16:uniqueId val="{00000000-E95B-BB41-8CE3-6CD22D9A8963}"/>
            </c:ext>
          </c:extLst>
        </c:ser>
        <c:ser>
          <c:idx val="1"/>
          <c:order val="1"/>
          <c:tx>
            <c:v>VAN bajo shock</c:v>
          </c:tx>
          <c:invertIfNegative val="1"/>
          <c:cat>
            <c:strRef>
              <c:f>Comparación!$A$6:$A$9</c:f>
              <c:strCache>
                <c:ptCount val="4"/>
                <c:pt idx="0">
                  <c:v>Hotel</c:v>
                </c:pt>
                <c:pt idx="1">
                  <c:v>Agroindustria</c:v>
                </c:pt>
                <c:pt idx="2">
                  <c:v>Bienes de consumo</c:v>
                </c:pt>
                <c:pt idx="3">
                  <c:v>Generación solar</c:v>
                </c:pt>
              </c:strCache>
            </c:strRef>
          </c:cat>
          <c:val>
            <c:numRef>
              <c:f>Comparación!$E$6:$E$9</c:f>
              <c:numCache>
                <c:formatCode>\Q\ #,##0;[Red]\(\Q\ #,##0\);\-</c:formatCode>
                <c:ptCount val="4"/>
                <c:pt idx="0">
                  <c:v>0</c:v>
                </c:pt>
                <c:pt idx="1">
                  <c:v>0</c:v>
                </c:pt>
                <c:pt idx="2">
                  <c:v>0</c:v>
                </c:pt>
                <c:pt idx="3">
                  <c:v>0</c:v>
                </c:pt>
              </c:numCache>
            </c:numRef>
          </c:val>
          <c:extLst>
            <c:ext xmlns:c16="http://schemas.microsoft.com/office/drawing/2014/chart" uri="{C3380CC4-5D6E-409C-BE32-E72D297353CC}">
              <c16:uniqueId val="{00000001-E95B-BB41-8CE3-6CD22D9A896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Q\ #,##0;[Red]\(\Q\ #,##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7</xdr:col>
      <xdr:colOff>0</xdr:colOff>
      <xdr:row>35</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showGridLines="0" tabSelected="1" zoomScale="125" workbookViewId="0">
      <selection activeCell="A22" sqref="A22"/>
    </sheetView>
  </sheetViews>
  <sheetFormatPr baseColWidth="10" defaultColWidth="8.83203125" defaultRowHeight="15"/>
  <cols>
    <col min="1" max="1" width="8" customWidth="1"/>
    <col min="2" max="2" width="46" customWidth="1"/>
    <col min="3" max="3" width="4" customWidth="1"/>
    <col min="4" max="4" width="19" customWidth="1"/>
    <col min="5" max="5" width="16" customWidth="1"/>
    <col min="6" max="6" width="38" customWidth="1"/>
    <col min="7" max="8" width="12" customWidth="1"/>
  </cols>
  <sheetData>
    <row r="1" spans="1:8" ht="37.25" customHeight="1">
      <c r="A1" s="52" t="s">
        <v>0</v>
      </c>
      <c r="B1" s="52"/>
      <c r="C1" s="52"/>
      <c r="D1" s="52"/>
      <c r="E1" s="52"/>
      <c r="F1" s="52"/>
      <c r="G1" s="52"/>
      <c r="H1" s="52"/>
    </row>
    <row r="2" spans="1:8">
      <c r="A2" s="53" t="s">
        <v>1</v>
      </c>
      <c r="B2" s="53"/>
      <c r="C2" s="53"/>
      <c r="D2" s="53"/>
      <c r="E2" s="53"/>
      <c r="F2" s="53"/>
      <c r="G2" s="53"/>
      <c r="H2" s="53"/>
    </row>
    <row r="4" spans="1:8">
      <c r="A4" s="54" t="s">
        <v>2</v>
      </c>
      <c r="B4" s="54"/>
      <c r="C4" s="54"/>
      <c r="D4" s="54"/>
      <c r="E4" s="54"/>
      <c r="F4" s="54"/>
      <c r="G4" s="54"/>
      <c r="H4" s="54"/>
    </row>
    <row r="5" spans="1:8">
      <c r="A5" s="55" t="s">
        <v>3</v>
      </c>
      <c r="B5" s="55"/>
      <c r="C5" s="55"/>
      <c r="D5" s="55"/>
      <c r="E5" s="55"/>
      <c r="F5" s="55"/>
      <c r="G5" s="55"/>
      <c r="H5" s="55"/>
    </row>
    <row r="6" spans="1:8">
      <c r="A6" s="55"/>
      <c r="B6" s="55"/>
      <c r="C6" s="55"/>
      <c r="D6" s="55"/>
      <c r="E6" s="55"/>
      <c r="F6" s="55"/>
      <c r="G6" s="55"/>
      <c r="H6" s="55"/>
    </row>
    <row r="7" spans="1:8">
      <c r="A7" s="55"/>
      <c r="B7" s="55"/>
      <c r="C7" s="55"/>
      <c r="D7" s="55"/>
      <c r="E7" s="55"/>
      <c r="F7" s="55"/>
      <c r="G7" s="55"/>
      <c r="H7" s="55"/>
    </row>
    <row r="9" spans="1:8">
      <c r="A9" s="54" t="s">
        <v>4</v>
      </c>
      <c r="B9" s="54"/>
      <c r="C9" s="54"/>
      <c r="D9" s="54"/>
      <c r="E9" s="54"/>
      <c r="F9" s="54"/>
      <c r="G9" s="54"/>
      <c r="H9" s="54"/>
    </row>
    <row r="10" spans="1:8">
      <c r="A10" s="1" t="s">
        <v>5</v>
      </c>
      <c r="B10" s="2" t="s">
        <v>6</v>
      </c>
      <c r="D10" s="56" t="s">
        <v>7</v>
      </c>
      <c r="E10" s="56"/>
      <c r="F10" s="56"/>
      <c r="G10" s="56"/>
      <c r="H10" s="56"/>
    </row>
    <row r="11" spans="1:8">
      <c r="A11" s="1" t="s">
        <v>8</v>
      </c>
      <c r="B11" s="2" t="s">
        <v>9</v>
      </c>
      <c r="D11" s="10" t="s">
        <v>10</v>
      </c>
      <c r="E11" s="13" t="s">
        <v>11</v>
      </c>
      <c r="F11" s="6" t="s">
        <v>12</v>
      </c>
    </row>
    <row r="12" spans="1:8">
      <c r="A12" s="1" t="s">
        <v>13</v>
      </c>
      <c r="B12" s="2" t="s">
        <v>14</v>
      </c>
      <c r="D12" s="11" t="s">
        <v>15</v>
      </c>
      <c r="E12" s="14" t="s">
        <v>16</v>
      </c>
      <c r="F12" s="7" t="s">
        <v>17</v>
      </c>
    </row>
    <row r="13" spans="1:8">
      <c r="A13" s="1" t="s">
        <v>18</v>
      </c>
      <c r="B13" s="2" t="s">
        <v>19</v>
      </c>
      <c r="D13" s="11" t="s">
        <v>20</v>
      </c>
      <c r="E13" s="14" t="s">
        <v>21</v>
      </c>
      <c r="F13" s="7" t="s">
        <v>22</v>
      </c>
    </row>
    <row r="14" spans="1:8">
      <c r="A14" s="1" t="s">
        <v>23</v>
      </c>
      <c r="B14" s="2" t="s">
        <v>24</v>
      </c>
      <c r="D14" s="12" t="s">
        <v>25</v>
      </c>
      <c r="E14" s="15" t="s">
        <v>26</v>
      </c>
      <c r="F14" s="9" t="s">
        <v>27</v>
      </c>
    </row>
    <row r="15" spans="1:8">
      <c r="A15" s="1" t="s">
        <v>28</v>
      </c>
      <c r="B15" s="2" t="s">
        <v>29</v>
      </c>
    </row>
    <row r="16" spans="1:8">
      <c r="A16" s="1" t="s">
        <v>30</v>
      </c>
      <c r="B16" s="2" t="s">
        <v>31</v>
      </c>
      <c r="D16" s="57" t="s">
        <v>32</v>
      </c>
      <c r="E16" s="57"/>
      <c r="F16" s="57"/>
      <c r="G16" s="57"/>
      <c r="H16" s="57"/>
    </row>
    <row r="17" spans="1:8">
      <c r="D17" s="57"/>
      <c r="E17" s="57"/>
      <c r="F17" s="57"/>
      <c r="G17" s="57"/>
      <c r="H17" s="57"/>
    </row>
    <row r="18" spans="1:8">
      <c r="D18" s="57"/>
      <c r="E18" s="57"/>
      <c r="F18" s="57"/>
      <c r="G18" s="57"/>
      <c r="H18" s="57"/>
    </row>
    <row r="19" spans="1:8">
      <c r="D19" s="57"/>
      <c r="E19" s="57"/>
      <c r="F19" s="57"/>
      <c r="G19" s="57"/>
      <c r="H19" s="57"/>
    </row>
    <row r="20" spans="1:8">
      <c r="A20" s="54" t="s">
        <v>141</v>
      </c>
      <c r="B20" s="54"/>
      <c r="C20" s="54"/>
      <c r="D20" s="54"/>
      <c r="E20" s="54"/>
      <c r="F20" s="54"/>
      <c r="G20" s="54"/>
      <c r="H20" s="54"/>
    </row>
    <row r="21" spans="1:8">
      <c r="A21" s="2" t="s">
        <v>142</v>
      </c>
      <c r="B21" s="2" t="s">
        <v>143</v>
      </c>
    </row>
    <row r="22" spans="1:8">
      <c r="C22" s="62" t="s">
        <v>144</v>
      </c>
    </row>
  </sheetData>
  <mergeCells count="8">
    <mergeCell ref="D10:H10"/>
    <mergeCell ref="D16:H19"/>
    <mergeCell ref="A20:H20"/>
    <mergeCell ref="A1:H1"/>
    <mergeCell ref="A2:H2"/>
    <mergeCell ref="A4:H4"/>
    <mergeCell ref="A5:H7"/>
    <mergeCell ref="A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5"/>
  <sheetViews>
    <sheetView showGridLines="0" workbookViewId="0">
      <selection activeCell="F19" sqref="F19"/>
    </sheetView>
  </sheetViews>
  <sheetFormatPr baseColWidth="10" defaultColWidth="8.83203125" defaultRowHeight="15"/>
  <cols>
    <col min="1" max="1" width="26" customWidth="1"/>
    <col min="2" max="7" width="16" customWidth="1"/>
    <col min="8" max="8" width="18" customWidth="1"/>
  </cols>
  <sheetData>
    <row r="1" spans="1:8" ht="37.25" customHeight="1">
      <c r="A1" s="52" t="s">
        <v>33</v>
      </c>
      <c r="B1" s="52"/>
      <c r="C1" s="52"/>
      <c r="D1" s="52"/>
      <c r="E1" s="52"/>
      <c r="F1" s="52"/>
      <c r="G1" s="52"/>
      <c r="H1" s="52"/>
    </row>
    <row r="2" spans="1:8">
      <c r="A2" s="53" t="s">
        <v>34</v>
      </c>
      <c r="B2" s="53"/>
      <c r="C2" s="53"/>
      <c r="D2" s="53"/>
      <c r="E2" s="53"/>
      <c r="F2" s="53"/>
      <c r="G2" s="53"/>
      <c r="H2" s="53"/>
    </row>
    <row r="4" spans="1:8">
      <c r="A4" s="54" t="s">
        <v>35</v>
      </c>
      <c r="B4" s="54"/>
      <c r="C4" s="54"/>
      <c r="E4" s="58" t="s">
        <v>36</v>
      </c>
      <c r="F4" s="58"/>
      <c r="G4" s="58"/>
      <c r="H4" s="58"/>
    </row>
    <row r="5" spans="1:8">
      <c r="A5" s="3" t="s">
        <v>37</v>
      </c>
      <c r="B5" s="3" t="s">
        <v>38</v>
      </c>
      <c r="E5" s="3" t="s">
        <v>39</v>
      </c>
      <c r="F5" s="3" t="s">
        <v>40</v>
      </c>
      <c r="G5" s="3" t="s">
        <v>41</v>
      </c>
    </row>
    <row r="6" spans="1:8">
      <c r="A6" s="2" t="s">
        <v>42</v>
      </c>
      <c r="B6" s="16">
        <v>60</v>
      </c>
      <c r="E6" s="20">
        <v>1</v>
      </c>
      <c r="F6" s="21">
        <v>0.5</v>
      </c>
      <c r="G6" s="22">
        <v>-0.08</v>
      </c>
    </row>
    <row r="7" spans="1:8">
      <c r="A7" s="2" t="s">
        <v>43</v>
      </c>
      <c r="B7" s="17">
        <v>0.65</v>
      </c>
      <c r="E7" s="20">
        <v>2</v>
      </c>
      <c r="F7" s="21">
        <v>0.5</v>
      </c>
      <c r="G7" s="22">
        <v>-0.08</v>
      </c>
    </row>
    <row r="8" spans="1:8">
      <c r="A8" s="2" t="s">
        <v>44</v>
      </c>
      <c r="B8" s="18">
        <v>650</v>
      </c>
      <c r="E8" s="20">
        <v>3</v>
      </c>
      <c r="F8" s="21">
        <v>0.57999999999999996</v>
      </c>
      <c r="G8" s="22">
        <v>-0.04</v>
      </c>
    </row>
    <row r="9" spans="1:8">
      <c r="A9" s="2" t="s">
        <v>45</v>
      </c>
      <c r="B9" s="18">
        <v>170</v>
      </c>
      <c r="E9" s="20">
        <v>4</v>
      </c>
      <c r="F9" s="21">
        <v>0.65</v>
      </c>
      <c r="G9" s="22">
        <v>0</v>
      </c>
    </row>
    <row r="10" spans="1:8">
      <c r="A10" s="2" t="s">
        <v>46</v>
      </c>
      <c r="B10" s="18">
        <v>2600000</v>
      </c>
      <c r="E10" s="20">
        <v>5</v>
      </c>
      <c r="F10" s="21">
        <v>0.65</v>
      </c>
      <c r="G10" s="22">
        <v>0</v>
      </c>
    </row>
    <row r="11" spans="1:8">
      <c r="A11" s="2" t="s">
        <v>47</v>
      </c>
      <c r="B11" s="18">
        <v>200000</v>
      </c>
    </row>
    <row r="12" spans="1:8">
      <c r="A12" s="2" t="s">
        <v>48</v>
      </c>
      <c r="B12" s="18">
        <v>12000000</v>
      </c>
      <c r="E12" s="57" t="s">
        <v>49</v>
      </c>
      <c r="F12" s="57"/>
      <c r="G12" s="57"/>
      <c r="H12" s="57"/>
    </row>
    <row r="13" spans="1:8">
      <c r="A13" s="2" t="s">
        <v>50</v>
      </c>
      <c r="B13" s="18">
        <v>3000000</v>
      </c>
      <c r="E13" s="57"/>
      <c r="F13" s="57"/>
      <c r="G13" s="57"/>
      <c r="H13" s="57"/>
    </row>
    <row r="14" spans="1:8">
      <c r="A14" s="2" t="s">
        <v>51</v>
      </c>
      <c r="B14" s="19">
        <v>0.1</v>
      </c>
      <c r="E14" s="57"/>
      <c r="F14" s="57"/>
      <c r="G14" s="57"/>
      <c r="H14" s="57"/>
    </row>
    <row r="16" spans="1:8">
      <c r="A16" s="54" t="s">
        <v>52</v>
      </c>
      <c r="B16" s="54"/>
      <c r="C16" s="54"/>
      <c r="D16" s="54"/>
      <c r="E16" s="54"/>
      <c r="F16" s="54"/>
      <c r="G16" s="54"/>
    </row>
    <row r="17" spans="1:7">
      <c r="A17" s="3" t="s">
        <v>53</v>
      </c>
      <c r="B17" s="3" t="s">
        <v>54</v>
      </c>
      <c r="C17" s="3" t="s">
        <v>55</v>
      </c>
      <c r="D17" s="3" t="s">
        <v>56</v>
      </c>
      <c r="E17" s="3" t="s">
        <v>57</v>
      </c>
      <c r="F17" s="3" t="s">
        <v>58</v>
      </c>
      <c r="G17" s="3" t="s">
        <v>59</v>
      </c>
    </row>
    <row r="18" spans="1:7">
      <c r="A18" s="2" t="s">
        <v>40</v>
      </c>
      <c r="B18" s="29"/>
      <c r="C18" s="23"/>
      <c r="D18" s="23"/>
      <c r="E18" s="23"/>
      <c r="F18" s="23"/>
      <c r="G18" s="24"/>
    </row>
    <row r="19" spans="1:7">
      <c r="A19" s="2" t="s">
        <v>60</v>
      </c>
      <c r="B19" s="30"/>
      <c r="C19" s="25"/>
      <c r="D19" s="25"/>
      <c r="E19" s="25"/>
      <c r="F19" s="25"/>
      <c r="G19" s="26"/>
    </row>
    <row r="20" spans="1:7">
      <c r="A20" s="2" t="s">
        <v>61</v>
      </c>
      <c r="B20" s="31"/>
      <c r="C20" s="27"/>
      <c r="D20" s="27"/>
      <c r="E20" s="27"/>
      <c r="F20" s="27"/>
      <c r="G20" s="28"/>
    </row>
    <row r="21" spans="1:7">
      <c r="A21" s="2" t="s">
        <v>62</v>
      </c>
      <c r="B21" s="30"/>
      <c r="C21" s="25"/>
      <c r="D21" s="25"/>
      <c r="E21" s="25"/>
      <c r="F21" s="25"/>
      <c r="G21" s="26"/>
    </row>
    <row r="22" spans="1:7">
      <c r="A22" s="2" t="s">
        <v>63</v>
      </c>
      <c r="B22" s="30"/>
      <c r="C22" s="25"/>
      <c r="D22" s="25"/>
      <c r="E22" s="25"/>
      <c r="F22" s="25"/>
      <c r="G22" s="26"/>
    </row>
    <row r="23" spans="1:7">
      <c r="A23" s="2" t="s">
        <v>64</v>
      </c>
      <c r="B23" s="30"/>
      <c r="C23" s="25"/>
      <c r="D23" s="25"/>
      <c r="E23" s="25"/>
      <c r="F23" s="25"/>
      <c r="G23" s="26"/>
    </row>
    <row r="24" spans="1:7">
      <c r="A24" s="2" t="s">
        <v>65</v>
      </c>
      <c r="B24" s="30"/>
      <c r="C24" s="25"/>
      <c r="D24" s="25"/>
      <c r="E24" s="25"/>
      <c r="F24" s="25"/>
      <c r="G24" s="26"/>
    </row>
    <row r="25" spans="1:7">
      <c r="A25" s="2" t="s">
        <v>66</v>
      </c>
      <c r="B25" s="32"/>
      <c r="C25" s="25"/>
      <c r="D25" s="25"/>
      <c r="E25" s="25"/>
      <c r="F25" s="25"/>
      <c r="G25" s="26"/>
    </row>
    <row r="26" spans="1:7">
      <c r="A26" s="2" t="s">
        <v>67</v>
      </c>
      <c r="B26" s="29"/>
      <c r="C26" s="23"/>
      <c r="D26" s="23"/>
      <c r="E26" s="23"/>
      <c r="F26" s="23"/>
      <c r="G26" s="24"/>
    </row>
    <row r="27" spans="1:7">
      <c r="A27" s="2" t="s">
        <v>68</v>
      </c>
      <c r="B27" s="30"/>
      <c r="C27" s="25"/>
      <c r="D27" s="25"/>
      <c r="E27" s="25"/>
      <c r="F27" s="25"/>
      <c r="G27" s="26"/>
    </row>
    <row r="28" spans="1:7">
      <c r="A28" s="2" t="s">
        <v>69</v>
      </c>
      <c r="B28" s="30"/>
      <c r="C28" s="25"/>
      <c r="D28" s="25"/>
      <c r="E28" s="25"/>
      <c r="F28" s="25"/>
      <c r="G28" s="26"/>
    </row>
    <row r="29" spans="1:7">
      <c r="A29" s="2" t="s">
        <v>70</v>
      </c>
      <c r="B29" s="59"/>
      <c r="C29" s="60"/>
      <c r="D29" s="60"/>
      <c r="E29" s="60"/>
      <c r="F29" s="60"/>
      <c r="G29" s="61"/>
    </row>
    <row r="31" spans="1:7">
      <c r="A31" s="54" t="s">
        <v>71</v>
      </c>
      <c r="B31" s="54"/>
      <c r="C31" s="54"/>
      <c r="D31" s="54"/>
      <c r="E31" s="54"/>
      <c r="F31" s="54"/>
      <c r="G31" s="54"/>
    </row>
    <row r="32" spans="1:7">
      <c r="A32" s="3" t="s">
        <v>53</v>
      </c>
      <c r="B32" s="3" t="s">
        <v>54</v>
      </c>
      <c r="C32" s="3" t="s">
        <v>55</v>
      </c>
      <c r="D32" s="3" t="s">
        <v>56</v>
      </c>
      <c r="E32" s="3" t="s">
        <v>57</v>
      </c>
      <c r="F32" s="3" t="s">
        <v>58</v>
      </c>
      <c r="G32" s="3" t="s">
        <v>59</v>
      </c>
    </row>
    <row r="33" spans="1:7">
      <c r="A33" s="2" t="s">
        <v>40</v>
      </c>
      <c r="B33" s="29"/>
      <c r="C33" s="23"/>
      <c r="D33" s="23"/>
      <c r="E33" s="23"/>
      <c r="F33" s="23"/>
      <c r="G33" s="24"/>
    </row>
    <row r="34" spans="1:7">
      <c r="A34" s="2" t="s">
        <v>60</v>
      </c>
      <c r="B34" s="30"/>
      <c r="C34" s="25"/>
      <c r="D34" s="25"/>
      <c r="E34" s="25"/>
      <c r="F34" s="25"/>
      <c r="G34" s="26"/>
    </row>
    <row r="35" spans="1:7">
      <c r="A35" s="2" t="s">
        <v>61</v>
      </c>
      <c r="B35" s="31"/>
      <c r="C35" s="27"/>
      <c r="D35" s="27"/>
      <c r="E35" s="27"/>
      <c r="F35" s="27"/>
      <c r="G35" s="28"/>
    </row>
    <row r="36" spans="1:7">
      <c r="A36" s="2" t="s">
        <v>62</v>
      </c>
      <c r="B36" s="30"/>
      <c r="C36" s="25"/>
      <c r="D36" s="25"/>
      <c r="E36" s="25"/>
      <c r="F36" s="25"/>
      <c r="G36" s="26"/>
    </row>
    <row r="37" spans="1:7">
      <c r="A37" s="2" t="s">
        <v>63</v>
      </c>
      <c r="B37" s="30"/>
      <c r="C37" s="25"/>
      <c r="D37" s="25"/>
      <c r="E37" s="25"/>
      <c r="F37" s="25"/>
      <c r="G37" s="26"/>
    </row>
    <row r="38" spans="1:7">
      <c r="A38" s="2" t="s">
        <v>64</v>
      </c>
      <c r="B38" s="30"/>
      <c r="C38" s="25"/>
      <c r="D38" s="25"/>
      <c r="E38" s="25"/>
      <c r="F38" s="25"/>
      <c r="G38" s="26"/>
    </row>
    <row r="39" spans="1:7">
      <c r="A39" s="2" t="s">
        <v>65</v>
      </c>
      <c r="B39" s="30"/>
      <c r="C39" s="25"/>
      <c r="D39" s="25"/>
      <c r="E39" s="25"/>
      <c r="F39" s="25"/>
      <c r="G39" s="26"/>
    </row>
    <row r="40" spans="1:7">
      <c r="A40" s="2" t="s">
        <v>66</v>
      </c>
      <c r="B40" s="32"/>
      <c r="C40" s="25"/>
      <c r="D40" s="25"/>
      <c r="E40" s="25"/>
      <c r="F40" s="25"/>
      <c r="G40" s="26"/>
    </row>
    <row r="41" spans="1:7">
      <c r="A41" s="2" t="s">
        <v>67</v>
      </c>
      <c r="B41" s="29"/>
      <c r="C41" s="23"/>
      <c r="D41" s="23"/>
      <c r="E41" s="23"/>
      <c r="F41" s="23"/>
      <c r="G41" s="24"/>
    </row>
    <row r="42" spans="1:7">
      <c r="A42" s="2" t="s">
        <v>68</v>
      </c>
      <c r="B42" s="30"/>
      <c r="C42" s="25"/>
      <c r="D42" s="25"/>
      <c r="E42" s="25"/>
      <c r="F42" s="25"/>
      <c r="G42" s="26"/>
    </row>
    <row r="43" spans="1:7">
      <c r="A43" s="2" t="s">
        <v>69</v>
      </c>
      <c r="B43" s="30"/>
      <c r="C43" s="25"/>
      <c r="D43" s="25"/>
      <c r="E43" s="25"/>
      <c r="F43" s="25"/>
      <c r="G43" s="26"/>
    </row>
    <row r="44" spans="1:7">
      <c r="A44" s="2" t="s">
        <v>70</v>
      </c>
      <c r="B44" s="59"/>
      <c r="C44" s="60"/>
      <c r="D44" s="60"/>
      <c r="E44" s="60"/>
      <c r="F44" s="60"/>
      <c r="G44" s="61"/>
    </row>
    <row r="46" spans="1:7">
      <c r="A46" s="54" t="s">
        <v>72</v>
      </c>
      <c r="B46" s="54"/>
      <c r="C46" s="54"/>
      <c r="D46" s="54"/>
      <c r="E46" s="54"/>
      <c r="F46" s="54"/>
      <c r="G46" s="54"/>
    </row>
    <row r="47" spans="1:7">
      <c r="A47" s="3" t="s">
        <v>73</v>
      </c>
      <c r="B47" s="3" t="s">
        <v>25</v>
      </c>
      <c r="D47" s="3" t="s">
        <v>74</v>
      </c>
      <c r="E47" s="3" t="s">
        <v>70</v>
      </c>
    </row>
    <row r="48" spans="1:7" ht="16">
      <c r="A48" s="2" t="s">
        <v>75</v>
      </c>
      <c r="B48" s="33">
        <f>B29</f>
        <v>0</v>
      </c>
      <c r="D48" s="2" t="s">
        <v>76</v>
      </c>
      <c r="E48" s="36"/>
    </row>
    <row r="49" spans="1:7" ht="16">
      <c r="A49" s="2" t="s">
        <v>77</v>
      </c>
      <c r="B49" s="34">
        <f>B44</f>
        <v>0</v>
      </c>
      <c r="D49" s="2" t="s">
        <v>78</v>
      </c>
      <c r="E49" s="37"/>
    </row>
    <row r="50" spans="1:7" ht="16">
      <c r="A50" s="2" t="s">
        <v>79</v>
      </c>
      <c r="B50" s="35">
        <f>B49-B48</f>
        <v>0</v>
      </c>
      <c r="D50" s="2" t="s">
        <v>80</v>
      </c>
      <c r="E50" s="38"/>
    </row>
    <row r="52" spans="1:7">
      <c r="A52" s="57" t="s">
        <v>81</v>
      </c>
      <c r="B52" s="57"/>
      <c r="C52" s="57"/>
      <c r="D52" s="57"/>
      <c r="E52" s="57"/>
      <c r="F52" s="57"/>
      <c r="G52" s="57"/>
    </row>
    <row r="53" spans="1:7">
      <c r="A53" s="57"/>
      <c r="B53" s="57"/>
      <c r="C53" s="57"/>
      <c r="D53" s="57"/>
      <c r="E53" s="57"/>
      <c r="F53" s="57"/>
      <c r="G53" s="57"/>
    </row>
    <row r="54" spans="1:7">
      <c r="A54" s="57"/>
      <c r="B54" s="57"/>
      <c r="C54" s="57"/>
      <c r="D54" s="57"/>
      <c r="E54" s="57"/>
      <c r="F54" s="57"/>
      <c r="G54" s="57"/>
    </row>
    <row r="55" spans="1:7">
      <c r="A55" s="57"/>
      <c r="B55" s="57"/>
      <c r="C55" s="57"/>
      <c r="D55" s="57"/>
      <c r="E55" s="57"/>
      <c r="F55" s="57"/>
      <c r="G55" s="57"/>
    </row>
  </sheetData>
  <mergeCells count="11">
    <mergeCell ref="A16:G16"/>
    <mergeCell ref="A31:G31"/>
    <mergeCell ref="A46:G46"/>
    <mergeCell ref="A52:G55"/>
    <mergeCell ref="B29:G29"/>
    <mergeCell ref="B44:G44"/>
    <mergeCell ref="A1:H1"/>
    <mergeCell ref="A2:H2"/>
    <mergeCell ref="A4:C4"/>
    <mergeCell ref="E4:H4"/>
    <mergeCell ref="E12: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5"/>
  <sheetViews>
    <sheetView showGridLines="0" workbookViewId="0">
      <selection sqref="A1:H1"/>
    </sheetView>
  </sheetViews>
  <sheetFormatPr baseColWidth="10" defaultColWidth="8.83203125" defaultRowHeight="15"/>
  <cols>
    <col min="1" max="1" width="26" customWidth="1"/>
    <col min="2" max="7" width="16" customWidth="1"/>
    <col min="8" max="8" width="18" customWidth="1"/>
  </cols>
  <sheetData>
    <row r="1" spans="1:8" ht="37.25" customHeight="1">
      <c r="A1" s="52" t="s">
        <v>82</v>
      </c>
      <c r="B1" s="52"/>
      <c r="C1" s="52"/>
      <c r="D1" s="52"/>
      <c r="E1" s="52"/>
      <c r="F1" s="52"/>
      <c r="G1" s="52"/>
      <c r="H1" s="52"/>
    </row>
    <row r="2" spans="1:8">
      <c r="A2" s="53" t="s">
        <v>83</v>
      </c>
      <c r="B2" s="53"/>
      <c r="C2" s="53"/>
      <c r="D2" s="53"/>
      <c r="E2" s="53"/>
      <c r="F2" s="53"/>
      <c r="G2" s="53"/>
      <c r="H2" s="53"/>
    </row>
    <row r="4" spans="1:8">
      <c r="A4" s="54" t="s">
        <v>35</v>
      </c>
      <c r="B4" s="54"/>
      <c r="C4" s="54"/>
      <c r="E4" s="58" t="s">
        <v>36</v>
      </c>
      <c r="F4" s="58"/>
      <c r="G4" s="58"/>
      <c r="H4" s="58"/>
    </row>
    <row r="5" spans="1:8">
      <c r="A5" s="3" t="s">
        <v>37</v>
      </c>
      <c r="B5" s="3" t="s">
        <v>38</v>
      </c>
      <c r="E5" s="3" t="s">
        <v>39</v>
      </c>
      <c r="F5" s="3" t="s">
        <v>84</v>
      </c>
    </row>
    <row r="6" spans="1:8">
      <c r="A6" s="2" t="s">
        <v>85</v>
      </c>
      <c r="B6" s="16">
        <v>500000</v>
      </c>
      <c r="E6" s="20">
        <v>1</v>
      </c>
      <c r="F6" s="22">
        <v>0.2</v>
      </c>
    </row>
    <row r="7" spans="1:8">
      <c r="A7" s="2" t="s">
        <v>86</v>
      </c>
      <c r="B7" s="18">
        <v>42</v>
      </c>
      <c r="E7" s="20">
        <v>2</v>
      </c>
      <c r="F7" s="22">
        <v>0.2</v>
      </c>
    </row>
    <row r="8" spans="1:8">
      <c r="A8" s="2" t="s">
        <v>87</v>
      </c>
      <c r="B8" s="18">
        <v>23</v>
      </c>
      <c r="E8" s="20">
        <v>3</v>
      </c>
      <c r="F8" s="22">
        <v>0.2</v>
      </c>
    </row>
    <row r="9" spans="1:8">
      <c r="A9" s="2" t="s">
        <v>46</v>
      </c>
      <c r="B9" s="18">
        <v>4000000</v>
      </c>
      <c r="E9" s="20">
        <v>4</v>
      </c>
      <c r="F9" s="22">
        <v>0.05</v>
      </c>
    </row>
    <row r="10" spans="1:8">
      <c r="A10" s="2" t="s">
        <v>47</v>
      </c>
      <c r="B10" s="18">
        <v>500000</v>
      </c>
      <c r="E10" s="20">
        <v>5</v>
      </c>
      <c r="F10" s="22">
        <v>0</v>
      </c>
    </row>
    <row r="11" spans="1:8">
      <c r="A11" s="2" t="s">
        <v>48</v>
      </c>
      <c r="B11" s="18">
        <v>15000000</v>
      </c>
    </row>
    <row r="12" spans="1:8">
      <c r="A12" s="2" t="s">
        <v>50</v>
      </c>
      <c r="B12" s="18">
        <v>3000000</v>
      </c>
      <c r="E12" s="57" t="s">
        <v>88</v>
      </c>
      <c r="F12" s="57"/>
      <c r="G12" s="57"/>
      <c r="H12" s="57"/>
    </row>
    <row r="13" spans="1:8">
      <c r="A13" s="2" t="s">
        <v>51</v>
      </c>
      <c r="B13" s="19">
        <v>0.1</v>
      </c>
      <c r="E13" s="57"/>
      <c r="F13" s="57"/>
      <c r="G13" s="57"/>
      <c r="H13" s="57"/>
    </row>
    <row r="14" spans="1:8">
      <c r="E14" s="57"/>
      <c r="F14" s="57"/>
      <c r="G14" s="57"/>
      <c r="H14" s="57"/>
    </row>
    <row r="16" spans="1:8">
      <c r="A16" s="54" t="s">
        <v>52</v>
      </c>
      <c r="B16" s="54"/>
      <c r="C16" s="54"/>
      <c r="D16" s="54"/>
      <c r="E16" s="54"/>
      <c r="F16" s="54"/>
      <c r="G16" s="54"/>
    </row>
    <row r="17" spans="1:7">
      <c r="A17" s="3" t="s">
        <v>53</v>
      </c>
      <c r="B17" s="3" t="s">
        <v>54</v>
      </c>
      <c r="C17" s="3" t="s">
        <v>55</v>
      </c>
      <c r="D17" s="3" t="s">
        <v>56</v>
      </c>
      <c r="E17" s="3" t="s">
        <v>57</v>
      </c>
      <c r="F17" s="3" t="s">
        <v>58</v>
      </c>
      <c r="G17" s="3" t="s">
        <v>59</v>
      </c>
    </row>
    <row r="18" spans="1:7">
      <c r="A18" s="2" t="s">
        <v>89</v>
      </c>
      <c r="B18" s="31"/>
      <c r="C18" s="27"/>
      <c r="D18" s="27"/>
      <c r="E18" s="27"/>
      <c r="F18" s="27"/>
      <c r="G18" s="28"/>
    </row>
    <row r="19" spans="1:7">
      <c r="A19" s="2" t="s">
        <v>90</v>
      </c>
      <c r="B19" s="30"/>
      <c r="C19" s="25"/>
      <c r="D19" s="25"/>
      <c r="E19" s="25"/>
      <c r="F19" s="25"/>
      <c r="G19" s="26"/>
    </row>
    <row r="20" spans="1:7">
      <c r="A20" s="2" t="s">
        <v>91</v>
      </c>
      <c r="B20" s="30"/>
      <c r="C20" s="25"/>
      <c r="D20" s="25"/>
      <c r="E20" s="25"/>
      <c r="F20" s="25"/>
      <c r="G20" s="26"/>
    </row>
    <row r="21" spans="1:7">
      <c r="A21" s="2" t="s">
        <v>62</v>
      </c>
      <c r="B21" s="30"/>
      <c r="C21" s="25"/>
      <c r="D21" s="25"/>
      <c r="E21" s="25"/>
      <c r="F21" s="25"/>
      <c r="G21" s="26"/>
    </row>
    <row r="22" spans="1:7">
      <c r="A22" s="2" t="s">
        <v>92</v>
      </c>
      <c r="B22" s="30"/>
      <c r="C22" s="25"/>
      <c r="D22" s="25"/>
      <c r="E22" s="25"/>
      <c r="F22" s="25"/>
      <c r="G22" s="26"/>
    </row>
    <row r="23" spans="1:7">
      <c r="A23" s="2" t="s">
        <v>64</v>
      </c>
      <c r="B23" s="30"/>
      <c r="C23" s="25"/>
      <c r="D23" s="25"/>
      <c r="E23" s="25"/>
      <c r="F23" s="25"/>
      <c r="G23" s="26"/>
    </row>
    <row r="24" spans="1:7">
      <c r="A24" s="2" t="s">
        <v>65</v>
      </c>
      <c r="B24" s="30"/>
      <c r="C24" s="25"/>
      <c r="D24" s="25"/>
      <c r="E24" s="25"/>
      <c r="F24" s="25"/>
      <c r="G24" s="26"/>
    </row>
    <row r="25" spans="1:7">
      <c r="A25" s="2" t="s">
        <v>66</v>
      </c>
      <c r="B25" s="32"/>
      <c r="C25" s="25"/>
      <c r="D25" s="25"/>
      <c r="E25" s="25"/>
      <c r="F25" s="25"/>
      <c r="G25" s="26"/>
    </row>
    <row r="26" spans="1:7">
      <c r="A26" s="2" t="s">
        <v>67</v>
      </c>
      <c r="B26" s="29"/>
      <c r="C26" s="23"/>
      <c r="D26" s="23"/>
      <c r="E26" s="23"/>
      <c r="F26" s="23"/>
      <c r="G26" s="24"/>
    </row>
    <row r="27" spans="1:7">
      <c r="A27" s="2" t="s">
        <v>68</v>
      </c>
      <c r="B27" s="30"/>
      <c r="C27" s="25"/>
      <c r="D27" s="25"/>
      <c r="E27" s="25"/>
      <c r="F27" s="25"/>
      <c r="G27" s="26"/>
    </row>
    <row r="28" spans="1:7">
      <c r="A28" s="2" t="s">
        <v>69</v>
      </c>
      <c r="B28" s="30"/>
      <c r="C28" s="25"/>
      <c r="D28" s="25"/>
      <c r="E28" s="25"/>
      <c r="F28" s="25"/>
      <c r="G28" s="26"/>
    </row>
    <row r="29" spans="1:7">
      <c r="A29" s="2" t="s">
        <v>70</v>
      </c>
      <c r="B29" s="59"/>
      <c r="C29" s="60"/>
      <c r="D29" s="60"/>
      <c r="E29" s="60"/>
      <c r="F29" s="60"/>
      <c r="G29" s="61"/>
    </row>
    <row r="31" spans="1:7">
      <c r="A31" s="54" t="s">
        <v>71</v>
      </c>
      <c r="B31" s="54"/>
      <c r="C31" s="54"/>
      <c r="D31" s="54"/>
      <c r="E31" s="54"/>
      <c r="F31" s="54"/>
      <c r="G31" s="54"/>
    </row>
    <row r="32" spans="1:7">
      <c r="A32" s="3" t="s">
        <v>53</v>
      </c>
      <c r="B32" s="3" t="s">
        <v>54</v>
      </c>
      <c r="C32" s="3" t="s">
        <v>55</v>
      </c>
      <c r="D32" s="3" t="s">
        <v>56</v>
      </c>
      <c r="E32" s="3" t="s">
        <v>57</v>
      </c>
      <c r="F32" s="3" t="s">
        <v>58</v>
      </c>
      <c r="G32" s="3" t="s">
        <v>59</v>
      </c>
    </row>
    <row r="33" spans="1:8">
      <c r="A33" s="2" t="s">
        <v>89</v>
      </c>
      <c r="B33" s="31"/>
      <c r="C33" s="27"/>
      <c r="D33" s="27"/>
      <c r="E33" s="27"/>
      <c r="F33" s="27"/>
      <c r="G33" s="28"/>
    </row>
    <row r="34" spans="1:8">
      <c r="A34" s="2" t="s">
        <v>90</v>
      </c>
      <c r="B34" s="30"/>
      <c r="C34" s="25"/>
      <c r="D34" s="25"/>
      <c r="E34" s="25"/>
      <c r="F34" s="25"/>
      <c r="G34" s="26"/>
    </row>
    <row r="35" spans="1:8">
      <c r="A35" s="2" t="s">
        <v>91</v>
      </c>
      <c r="B35" s="30"/>
      <c r="C35" s="25"/>
      <c r="D35" s="25"/>
      <c r="E35" s="25"/>
      <c r="F35" s="25"/>
      <c r="G35" s="26"/>
    </row>
    <row r="36" spans="1:8">
      <c r="A36" s="2" t="s">
        <v>62</v>
      </c>
      <c r="B36" s="30"/>
      <c r="C36" s="25"/>
      <c r="D36" s="25"/>
      <c r="E36" s="25"/>
      <c r="F36" s="25"/>
      <c r="G36" s="26"/>
    </row>
    <row r="37" spans="1:8">
      <c r="A37" s="2" t="s">
        <v>92</v>
      </c>
      <c r="B37" s="30"/>
      <c r="C37" s="25"/>
      <c r="D37" s="25"/>
      <c r="E37" s="25"/>
      <c r="F37" s="25"/>
      <c r="G37" s="26"/>
    </row>
    <row r="38" spans="1:8">
      <c r="A38" s="2" t="s">
        <v>64</v>
      </c>
      <c r="B38" s="30"/>
      <c r="C38" s="25"/>
      <c r="D38" s="25"/>
      <c r="E38" s="25"/>
      <c r="F38" s="25"/>
      <c r="G38" s="26"/>
    </row>
    <row r="39" spans="1:8">
      <c r="A39" s="2" t="s">
        <v>65</v>
      </c>
      <c r="B39" s="30"/>
      <c r="C39" s="25"/>
      <c r="D39" s="25"/>
      <c r="E39" s="25"/>
      <c r="F39" s="25"/>
      <c r="G39" s="26"/>
    </row>
    <row r="40" spans="1:8">
      <c r="A40" s="2" t="s">
        <v>66</v>
      </c>
      <c r="B40" s="32"/>
      <c r="C40" s="25"/>
      <c r="D40" s="25"/>
      <c r="E40" s="25"/>
      <c r="F40" s="25"/>
      <c r="G40" s="26"/>
    </row>
    <row r="41" spans="1:8">
      <c r="A41" s="2" t="s">
        <v>67</v>
      </c>
      <c r="B41" s="29"/>
      <c r="C41" s="23"/>
      <c r="D41" s="23"/>
      <c r="E41" s="23"/>
      <c r="F41" s="23"/>
      <c r="G41" s="24"/>
    </row>
    <row r="42" spans="1:8">
      <c r="A42" s="2" t="s">
        <v>68</v>
      </c>
      <c r="B42" s="30"/>
      <c r="C42" s="25"/>
      <c r="D42" s="25"/>
      <c r="E42" s="25"/>
      <c r="F42" s="25"/>
      <c r="G42" s="26"/>
    </row>
    <row r="43" spans="1:8">
      <c r="A43" s="2" t="s">
        <v>69</v>
      </c>
      <c r="B43" s="30"/>
      <c r="C43" s="25"/>
      <c r="D43" s="25"/>
      <c r="E43" s="25"/>
      <c r="F43" s="25"/>
      <c r="G43" s="26"/>
    </row>
    <row r="44" spans="1:8">
      <c r="A44" s="2" t="s">
        <v>70</v>
      </c>
      <c r="B44" s="59"/>
      <c r="C44" s="60"/>
      <c r="D44" s="60"/>
      <c r="E44" s="60"/>
      <c r="F44" s="60"/>
      <c r="G44" s="61"/>
    </row>
    <row r="46" spans="1:8">
      <c r="A46" s="54" t="s">
        <v>72</v>
      </c>
      <c r="B46" s="54"/>
      <c r="C46" s="54"/>
      <c r="D46" s="54"/>
      <c r="E46" s="54"/>
      <c r="F46" s="54"/>
      <c r="G46" s="54"/>
    </row>
    <row r="47" spans="1:8">
      <c r="A47" s="3" t="s">
        <v>73</v>
      </c>
      <c r="B47" s="3" t="s">
        <v>25</v>
      </c>
      <c r="D47" s="3" t="s">
        <v>93</v>
      </c>
      <c r="E47" s="3" t="s">
        <v>25</v>
      </c>
      <c r="G47" s="3" t="s">
        <v>94</v>
      </c>
      <c r="H47" s="3" t="s">
        <v>38</v>
      </c>
    </row>
    <row r="48" spans="1:8" ht="16">
      <c r="A48" s="2" t="s">
        <v>75</v>
      </c>
      <c r="B48" s="33">
        <f>B29</f>
        <v>0</v>
      </c>
      <c r="D48" s="2" t="s">
        <v>95</v>
      </c>
      <c r="E48" s="36"/>
      <c r="G48" s="2" t="s">
        <v>96</v>
      </c>
      <c r="H48" s="17">
        <v>0.5</v>
      </c>
    </row>
    <row r="49" spans="1:8" ht="16">
      <c r="A49" s="2" t="s">
        <v>77</v>
      </c>
      <c r="B49" s="34">
        <f>B44</f>
        <v>0</v>
      </c>
      <c r="D49" s="2" t="s">
        <v>97</v>
      </c>
      <c r="E49" s="37"/>
      <c r="G49" s="57" t="s">
        <v>98</v>
      </c>
      <c r="H49" s="57"/>
    </row>
    <row r="50" spans="1:8" ht="16">
      <c r="A50" s="2" t="s">
        <v>79</v>
      </c>
      <c r="B50" s="35">
        <f>B49-B48</f>
        <v>0</v>
      </c>
      <c r="D50" s="2" t="s">
        <v>99</v>
      </c>
      <c r="E50" s="38"/>
      <c r="G50" s="57"/>
      <c r="H50" s="57"/>
    </row>
    <row r="52" spans="1:8">
      <c r="A52" s="57" t="s">
        <v>100</v>
      </c>
      <c r="B52" s="57"/>
      <c r="C52" s="57"/>
      <c r="D52" s="57"/>
      <c r="E52" s="57"/>
      <c r="F52" s="57"/>
      <c r="G52" s="57"/>
      <c r="H52" s="57"/>
    </row>
    <row r="53" spans="1:8">
      <c r="A53" s="57"/>
      <c r="B53" s="57"/>
      <c r="C53" s="57"/>
      <c r="D53" s="57"/>
      <c r="E53" s="57"/>
      <c r="F53" s="57"/>
      <c r="G53" s="57"/>
      <c r="H53" s="57"/>
    </row>
    <row r="54" spans="1:8">
      <c r="A54" s="57"/>
      <c r="B54" s="57"/>
      <c r="C54" s="57"/>
      <c r="D54" s="57"/>
      <c r="E54" s="57"/>
      <c r="F54" s="57"/>
      <c r="G54" s="57"/>
      <c r="H54" s="57"/>
    </row>
    <row r="55" spans="1:8">
      <c r="A55" s="57"/>
      <c r="B55" s="57"/>
      <c r="C55" s="57"/>
      <c r="D55" s="57"/>
      <c r="E55" s="57"/>
      <c r="F55" s="57"/>
      <c r="G55" s="57"/>
      <c r="H55" s="57"/>
    </row>
  </sheetData>
  <mergeCells count="12">
    <mergeCell ref="A16:G16"/>
    <mergeCell ref="A31:G31"/>
    <mergeCell ref="A46:G46"/>
    <mergeCell ref="G49:H50"/>
    <mergeCell ref="A52:H55"/>
    <mergeCell ref="B29:G29"/>
    <mergeCell ref="B44:G44"/>
    <mergeCell ref="A1:H1"/>
    <mergeCell ref="A2:H2"/>
    <mergeCell ref="A4:C4"/>
    <mergeCell ref="E4:H4"/>
    <mergeCell ref="E12:H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5"/>
  <sheetViews>
    <sheetView showGridLines="0" workbookViewId="0">
      <selection sqref="A1:H1"/>
    </sheetView>
  </sheetViews>
  <sheetFormatPr baseColWidth="10" defaultColWidth="8.83203125" defaultRowHeight="15"/>
  <cols>
    <col min="1" max="1" width="26" customWidth="1"/>
    <col min="2" max="7" width="16" customWidth="1"/>
    <col min="8" max="8" width="18" customWidth="1"/>
  </cols>
  <sheetData>
    <row r="1" spans="1:8" ht="37.25" customHeight="1">
      <c r="A1" s="52" t="s">
        <v>101</v>
      </c>
      <c r="B1" s="52"/>
      <c r="C1" s="52"/>
      <c r="D1" s="52"/>
      <c r="E1" s="52"/>
      <c r="F1" s="52"/>
      <c r="G1" s="52"/>
      <c r="H1" s="52"/>
    </row>
    <row r="2" spans="1:8">
      <c r="A2" s="53" t="s">
        <v>102</v>
      </c>
      <c r="B2" s="53"/>
      <c r="C2" s="53"/>
      <c r="D2" s="53"/>
      <c r="E2" s="53"/>
      <c r="F2" s="53"/>
      <c r="G2" s="53"/>
      <c r="H2" s="53"/>
    </row>
    <row r="4" spans="1:8">
      <c r="A4" s="54" t="s">
        <v>35</v>
      </c>
      <c r="B4" s="54"/>
      <c r="C4" s="54"/>
      <c r="E4" s="58" t="s">
        <v>36</v>
      </c>
      <c r="F4" s="58"/>
      <c r="G4" s="58"/>
      <c r="H4" s="58"/>
    </row>
    <row r="5" spans="1:8">
      <c r="A5" s="3" t="s">
        <v>37</v>
      </c>
      <c r="B5" s="3" t="s">
        <v>38</v>
      </c>
      <c r="E5" s="3" t="s">
        <v>39</v>
      </c>
      <c r="F5" s="3" t="s">
        <v>103</v>
      </c>
      <c r="G5" s="3" t="s">
        <v>104</v>
      </c>
    </row>
    <row r="6" spans="1:8">
      <c r="A6" s="2" t="s">
        <v>85</v>
      </c>
      <c r="B6" s="16">
        <v>300000</v>
      </c>
      <c r="E6" s="20">
        <v>1</v>
      </c>
      <c r="F6" s="21">
        <v>-0.2</v>
      </c>
      <c r="G6" s="22">
        <v>-0.05</v>
      </c>
    </row>
    <row r="7" spans="1:8">
      <c r="A7" s="2" t="s">
        <v>90</v>
      </c>
      <c r="B7" s="18">
        <v>60</v>
      </c>
      <c r="E7" s="20">
        <v>2</v>
      </c>
      <c r="F7" s="21">
        <v>-0.15</v>
      </c>
      <c r="G7" s="22">
        <v>-0.05</v>
      </c>
    </row>
    <row r="8" spans="1:8">
      <c r="A8" s="2" t="s">
        <v>91</v>
      </c>
      <c r="B8" s="18">
        <v>32</v>
      </c>
      <c r="E8" s="20">
        <v>3</v>
      </c>
      <c r="F8" s="21">
        <v>-0.08</v>
      </c>
      <c r="G8" s="22">
        <v>-0.02</v>
      </c>
    </row>
    <row r="9" spans="1:8">
      <c r="A9" s="2" t="s">
        <v>46</v>
      </c>
      <c r="B9" s="18">
        <v>4500000</v>
      </c>
      <c r="E9" s="20">
        <v>4</v>
      </c>
      <c r="F9" s="21">
        <v>0</v>
      </c>
      <c r="G9" s="22">
        <v>0</v>
      </c>
    </row>
    <row r="10" spans="1:8">
      <c r="A10" s="2" t="s">
        <v>47</v>
      </c>
      <c r="B10" s="18">
        <v>300000</v>
      </c>
      <c r="E10" s="20">
        <v>5</v>
      </c>
      <c r="F10" s="21">
        <v>0</v>
      </c>
      <c r="G10" s="22">
        <v>0</v>
      </c>
    </row>
    <row r="11" spans="1:8">
      <c r="A11" s="2" t="s">
        <v>48</v>
      </c>
      <c r="B11" s="18">
        <v>12000000</v>
      </c>
    </row>
    <row r="12" spans="1:8">
      <c r="A12" s="2" t="s">
        <v>50</v>
      </c>
      <c r="B12" s="18">
        <v>2500000</v>
      </c>
      <c r="E12" s="57" t="s">
        <v>105</v>
      </c>
      <c r="F12" s="57"/>
      <c r="G12" s="57"/>
      <c r="H12" s="57"/>
    </row>
    <row r="13" spans="1:8">
      <c r="A13" s="2" t="s">
        <v>51</v>
      </c>
      <c r="B13" s="19">
        <v>0.1</v>
      </c>
      <c r="E13" s="57"/>
      <c r="F13" s="57"/>
      <c r="G13" s="57"/>
      <c r="H13" s="57"/>
    </row>
    <row r="14" spans="1:8">
      <c r="E14" s="57"/>
      <c r="F14" s="57"/>
      <c r="G14" s="57"/>
      <c r="H14" s="57"/>
    </row>
    <row r="16" spans="1:8">
      <c r="A16" s="54" t="s">
        <v>52</v>
      </c>
      <c r="B16" s="54"/>
      <c r="C16" s="54"/>
      <c r="D16" s="54"/>
      <c r="E16" s="54"/>
      <c r="F16" s="54"/>
      <c r="G16" s="54"/>
    </row>
    <row r="17" spans="1:7">
      <c r="A17" s="3" t="s">
        <v>53</v>
      </c>
      <c r="B17" s="3" t="s">
        <v>54</v>
      </c>
      <c r="C17" s="3" t="s">
        <v>55</v>
      </c>
      <c r="D17" s="3" t="s">
        <v>56</v>
      </c>
      <c r="E17" s="3" t="s">
        <v>57</v>
      </c>
      <c r="F17" s="3" t="s">
        <v>58</v>
      </c>
      <c r="G17" s="3" t="s">
        <v>59</v>
      </c>
    </row>
    <row r="18" spans="1:7">
      <c r="A18" s="2" t="s">
        <v>89</v>
      </c>
      <c r="B18" s="31"/>
      <c r="C18" s="27"/>
      <c r="D18" s="27"/>
      <c r="E18" s="27"/>
      <c r="F18" s="27"/>
      <c r="G18" s="28"/>
    </row>
    <row r="19" spans="1:7">
      <c r="A19" s="2" t="s">
        <v>90</v>
      </c>
      <c r="B19" s="30"/>
      <c r="C19" s="25"/>
      <c r="D19" s="25"/>
      <c r="E19" s="25"/>
      <c r="F19" s="25"/>
      <c r="G19" s="26"/>
    </row>
    <row r="20" spans="1:7">
      <c r="A20" s="2" t="s">
        <v>91</v>
      </c>
      <c r="B20" s="30"/>
      <c r="C20" s="25"/>
      <c r="D20" s="25"/>
      <c r="E20" s="25"/>
      <c r="F20" s="25"/>
      <c r="G20" s="26"/>
    </row>
    <row r="21" spans="1:7">
      <c r="A21" s="2" t="s">
        <v>62</v>
      </c>
      <c r="B21" s="30"/>
      <c r="C21" s="25"/>
      <c r="D21" s="25"/>
      <c r="E21" s="25"/>
      <c r="F21" s="25"/>
      <c r="G21" s="26"/>
    </row>
    <row r="22" spans="1:7">
      <c r="A22" s="2" t="s">
        <v>92</v>
      </c>
      <c r="B22" s="30"/>
      <c r="C22" s="25"/>
      <c r="D22" s="25"/>
      <c r="E22" s="25"/>
      <c r="F22" s="25"/>
      <c r="G22" s="26"/>
    </row>
    <row r="23" spans="1:7">
      <c r="A23" s="2" t="s">
        <v>64</v>
      </c>
      <c r="B23" s="30"/>
      <c r="C23" s="25"/>
      <c r="D23" s="25"/>
      <c r="E23" s="25"/>
      <c r="F23" s="25"/>
      <c r="G23" s="26"/>
    </row>
    <row r="24" spans="1:7">
      <c r="A24" s="2" t="s">
        <v>65</v>
      </c>
      <c r="B24" s="30"/>
      <c r="C24" s="25"/>
      <c r="D24" s="25"/>
      <c r="E24" s="25"/>
      <c r="F24" s="25"/>
      <c r="G24" s="26"/>
    </row>
    <row r="25" spans="1:7">
      <c r="A25" s="2" t="s">
        <v>66</v>
      </c>
      <c r="B25" s="32"/>
      <c r="C25" s="25"/>
      <c r="D25" s="25"/>
      <c r="E25" s="25"/>
      <c r="F25" s="25"/>
      <c r="G25" s="26"/>
    </row>
    <row r="26" spans="1:7">
      <c r="A26" s="2" t="s">
        <v>67</v>
      </c>
      <c r="B26" s="29"/>
      <c r="C26" s="23"/>
      <c r="D26" s="23"/>
      <c r="E26" s="23"/>
      <c r="F26" s="23"/>
      <c r="G26" s="24"/>
    </row>
    <row r="27" spans="1:7">
      <c r="A27" s="2" t="s">
        <v>68</v>
      </c>
      <c r="B27" s="30"/>
      <c r="C27" s="25"/>
      <c r="D27" s="25"/>
      <c r="E27" s="25"/>
      <c r="F27" s="25"/>
      <c r="G27" s="26"/>
    </row>
    <row r="28" spans="1:7">
      <c r="A28" s="2" t="s">
        <v>69</v>
      </c>
      <c r="B28" s="30"/>
      <c r="C28" s="25"/>
      <c r="D28" s="25"/>
      <c r="E28" s="25"/>
      <c r="F28" s="25"/>
      <c r="G28" s="26"/>
    </row>
    <row r="29" spans="1:7">
      <c r="A29" s="2" t="s">
        <v>70</v>
      </c>
      <c r="B29" s="59"/>
      <c r="C29" s="60"/>
      <c r="D29" s="60"/>
      <c r="E29" s="60"/>
      <c r="F29" s="60"/>
      <c r="G29" s="61"/>
    </row>
    <row r="31" spans="1:7">
      <c r="A31" s="54" t="s">
        <v>71</v>
      </c>
      <c r="B31" s="54"/>
      <c r="C31" s="54"/>
      <c r="D31" s="54"/>
      <c r="E31" s="54"/>
      <c r="F31" s="54"/>
      <c r="G31" s="54"/>
    </row>
    <row r="32" spans="1:7">
      <c r="A32" s="3" t="s">
        <v>53</v>
      </c>
      <c r="B32" s="3" t="s">
        <v>54</v>
      </c>
      <c r="C32" s="3" t="s">
        <v>55</v>
      </c>
      <c r="D32" s="3" t="s">
        <v>56</v>
      </c>
      <c r="E32" s="3" t="s">
        <v>57</v>
      </c>
      <c r="F32" s="3" t="s">
        <v>58</v>
      </c>
      <c r="G32" s="3" t="s">
        <v>59</v>
      </c>
    </row>
    <row r="33" spans="1:7">
      <c r="A33" s="2" t="s">
        <v>89</v>
      </c>
      <c r="B33" s="31"/>
      <c r="C33" s="27"/>
      <c r="D33" s="27"/>
      <c r="E33" s="27"/>
      <c r="F33" s="27"/>
      <c r="G33" s="28"/>
    </row>
    <row r="34" spans="1:7">
      <c r="A34" s="2" t="s">
        <v>90</v>
      </c>
      <c r="B34" s="30"/>
      <c r="C34" s="25"/>
      <c r="D34" s="25"/>
      <c r="E34" s="25"/>
      <c r="F34" s="25"/>
      <c r="G34" s="26"/>
    </row>
    <row r="35" spans="1:7">
      <c r="A35" s="2" t="s">
        <v>91</v>
      </c>
      <c r="B35" s="30"/>
      <c r="C35" s="25"/>
      <c r="D35" s="25"/>
      <c r="E35" s="25"/>
      <c r="F35" s="25"/>
      <c r="G35" s="26"/>
    </row>
    <row r="36" spans="1:7">
      <c r="A36" s="2" t="s">
        <v>62</v>
      </c>
      <c r="B36" s="30"/>
      <c r="C36" s="25"/>
      <c r="D36" s="25"/>
      <c r="E36" s="25"/>
      <c r="F36" s="25"/>
      <c r="G36" s="26"/>
    </row>
    <row r="37" spans="1:7">
      <c r="A37" s="2" t="s">
        <v>92</v>
      </c>
      <c r="B37" s="30"/>
      <c r="C37" s="25"/>
      <c r="D37" s="25"/>
      <c r="E37" s="25"/>
      <c r="F37" s="25"/>
      <c r="G37" s="26"/>
    </row>
    <row r="38" spans="1:7">
      <c r="A38" s="2" t="s">
        <v>64</v>
      </c>
      <c r="B38" s="30"/>
      <c r="C38" s="25"/>
      <c r="D38" s="25"/>
      <c r="E38" s="25"/>
      <c r="F38" s="25"/>
      <c r="G38" s="26"/>
    </row>
    <row r="39" spans="1:7">
      <c r="A39" s="2" t="s">
        <v>65</v>
      </c>
      <c r="B39" s="30"/>
      <c r="C39" s="25"/>
      <c r="D39" s="25"/>
      <c r="E39" s="25"/>
      <c r="F39" s="25"/>
      <c r="G39" s="26"/>
    </row>
    <row r="40" spans="1:7">
      <c r="A40" s="2" t="s">
        <v>66</v>
      </c>
      <c r="B40" s="32"/>
      <c r="C40" s="25"/>
      <c r="D40" s="25"/>
      <c r="E40" s="25"/>
      <c r="F40" s="25"/>
      <c r="G40" s="26"/>
    </row>
    <row r="41" spans="1:7">
      <c r="A41" s="2" t="s">
        <v>67</v>
      </c>
      <c r="B41" s="29"/>
      <c r="C41" s="23"/>
      <c r="D41" s="23"/>
      <c r="E41" s="23"/>
      <c r="F41" s="23"/>
      <c r="G41" s="24"/>
    </row>
    <row r="42" spans="1:7">
      <c r="A42" s="2" t="s">
        <v>68</v>
      </c>
      <c r="B42" s="30"/>
      <c r="C42" s="25"/>
      <c r="D42" s="25"/>
      <c r="E42" s="25"/>
      <c r="F42" s="25"/>
      <c r="G42" s="26"/>
    </row>
    <row r="43" spans="1:7">
      <c r="A43" s="2" t="s">
        <v>69</v>
      </c>
      <c r="B43" s="30"/>
      <c r="C43" s="25"/>
      <c r="D43" s="25"/>
      <c r="E43" s="25"/>
      <c r="F43" s="25"/>
      <c r="G43" s="26"/>
    </row>
    <row r="44" spans="1:7">
      <c r="A44" s="2" t="s">
        <v>70</v>
      </c>
      <c r="B44" s="59"/>
      <c r="C44" s="60"/>
      <c r="D44" s="60"/>
      <c r="E44" s="60"/>
      <c r="F44" s="60"/>
      <c r="G44" s="61"/>
    </row>
    <row r="46" spans="1:7">
      <c r="A46" s="54" t="s">
        <v>72</v>
      </c>
      <c r="B46" s="54"/>
      <c r="C46" s="54"/>
      <c r="D46" s="54"/>
      <c r="E46" s="54"/>
      <c r="F46" s="54"/>
      <c r="G46" s="54"/>
    </row>
    <row r="47" spans="1:7">
      <c r="A47" s="3" t="s">
        <v>73</v>
      </c>
      <c r="B47" s="3" t="s">
        <v>25</v>
      </c>
      <c r="D47" s="3" t="s">
        <v>74</v>
      </c>
      <c r="E47" s="3" t="s">
        <v>70</v>
      </c>
    </row>
    <row r="48" spans="1:7" ht="16">
      <c r="A48" s="2" t="s">
        <v>75</v>
      </c>
      <c r="B48" s="33">
        <f>B29</f>
        <v>0</v>
      </c>
      <c r="D48" s="2" t="s">
        <v>106</v>
      </c>
      <c r="E48" s="36"/>
    </row>
    <row r="49" spans="1:7" ht="16">
      <c r="A49" s="2" t="s">
        <v>77</v>
      </c>
      <c r="B49" s="34">
        <f>B44</f>
        <v>0</v>
      </c>
      <c r="D49" s="2" t="s">
        <v>107</v>
      </c>
      <c r="E49" s="37"/>
    </row>
    <row r="50" spans="1:7" ht="16">
      <c r="A50" s="2" t="s">
        <v>79</v>
      </c>
      <c r="B50" s="35">
        <f>B49-B48</f>
        <v>0</v>
      </c>
      <c r="D50" s="2" t="s">
        <v>80</v>
      </c>
      <c r="E50" s="38"/>
    </row>
    <row r="52" spans="1:7">
      <c r="A52" s="57" t="s">
        <v>108</v>
      </c>
      <c r="B52" s="57"/>
      <c r="C52" s="57"/>
      <c r="D52" s="57"/>
      <c r="E52" s="57"/>
      <c r="F52" s="57"/>
      <c r="G52" s="57"/>
    </row>
    <row r="53" spans="1:7">
      <c r="A53" s="57"/>
      <c r="B53" s="57"/>
      <c r="C53" s="57"/>
      <c r="D53" s="57"/>
      <c r="E53" s="57"/>
      <c r="F53" s="57"/>
      <c r="G53" s="57"/>
    </row>
    <row r="54" spans="1:7">
      <c r="A54" s="57"/>
      <c r="B54" s="57"/>
      <c r="C54" s="57"/>
      <c r="D54" s="57"/>
      <c r="E54" s="57"/>
      <c r="F54" s="57"/>
      <c r="G54" s="57"/>
    </row>
    <row r="55" spans="1:7">
      <c r="A55" s="57"/>
      <c r="B55" s="57"/>
      <c r="C55" s="57"/>
      <c r="D55" s="57"/>
      <c r="E55" s="57"/>
      <c r="F55" s="57"/>
      <c r="G55" s="57"/>
    </row>
  </sheetData>
  <mergeCells count="11">
    <mergeCell ref="A16:G16"/>
    <mergeCell ref="A31:G31"/>
    <mergeCell ref="A46:G46"/>
    <mergeCell ref="A52:G55"/>
    <mergeCell ref="B29:G29"/>
    <mergeCell ref="B44:G44"/>
    <mergeCell ref="A1:H1"/>
    <mergeCell ref="A2:H2"/>
    <mergeCell ref="A4:C4"/>
    <mergeCell ref="E4:H4"/>
    <mergeCell ref="E12:H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
  <sheetViews>
    <sheetView showGridLines="0" workbookViewId="0">
      <selection sqref="A1:H1"/>
    </sheetView>
  </sheetViews>
  <sheetFormatPr baseColWidth="10" defaultColWidth="8.83203125" defaultRowHeight="15"/>
  <cols>
    <col min="1" max="1" width="26" customWidth="1"/>
    <col min="2" max="7" width="16" customWidth="1"/>
    <col min="8" max="8" width="18" customWidth="1"/>
  </cols>
  <sheetData>
    <row r="1" spans="1:8" ht="37.25" customHeight="1">
      <c r="A1" s="52" t="s">
        <v>109</v>
      </c>
      <c r="B1" s="52"/>
      <c r="C1" s="52"/>
      <c r="D1" s="52"/>
      <c r="E1" s="52"/>
      <c r="F1" s="52"/>
      <c r="G1" s="52"/>
      <c r="H1" s="52"/>
    </row>
    <row r="2" spans="1:8">
      <c r="A2" s="53" t="s">
        <v>110</v>
      </c>
      <c r="B2" s="53"/>
      <c r="C2" s="53"/>
      <c r="D2" s="53"/>
      <c r="E2" s="53"/>
      <c r="F2" s="53"/>
      <c r="G2" s="53"/>
      <c r="H2" s="53"/>
    </row>
    <row r="4" spans="1:8">
      <c r="A4" s="54" t="s">
        <v>35</v>
      </c>
      <c r="B4" s="54"/>
      <c r="C4" s="54"/>
      <c r="E4" s="58" t="s">
        <v>36</v>
      </c>
      <c r="F4" s="58"/>
      <c r="G4" s="58"/>
      <c r="H4" s="58"/>
    </row>
    <row r="5" spans="1:8">
      <c r="A5" s="3" t="s">
        <v>37</v>
      </c>
      <c r="B5" s="3" t="s">
        <v>38</v>
      </c>
      <c r="E5" s="57" t="s">
        <v>111</v>
      </c>
      <c r="F5" s="57"/>
      <c r="G5" s="57"/>
      <c r="H5" s="57"/>
    </row>
    <row r="6" spans="1:8">
      <c r="A6" s="2" t="s">
        <v>48</v>
      </c>
      <c r="B6" s="18">
        <v>20000000</v>
      </c>
      <c r="E6" s="57"/>
      <c r="F6" s="57"/>
      <c r="G6" s="57"/>
      <c r="H6" s="57"/>
    </row>
    <row r="7" spans="1:8">
      <c r="A7" s="2" t="s">
        <v>112</v>
      </c>
      <c r="B7" s="18">
        <v>5500000</v>
      </c>
      <c r="E7" s="57"/>
      <c r="F7" s="57"/>
      <c r="G7" s="57"/>
      <c r="H7" s="57"/>
    </row>
    <row r="8" spans="1:8">
      <c r="A8" s="2" t="s">
        <v>113</v>
      </c>
      <c r="B8" s="16">
        <v>5</v>
      </c>
      <c r="E8" s="57"/>
      <c r="F8" s="57"/>
      <c r="G8" s="57"/>
      <c r="H8" s="57"/>
    </row>
    <row r="9" spans="1:8">
      <c r="A9" s="2" t="s">
        <v>50</v>
      </c>
      <c r="B9" s="18">
        <v>4000000</v>
      </c>
      <c r="E9" s="57"/>
      <c r="F9" s="57"/>
      <c r="G9" s="57"/>
      <c r="H9" s="57"/>
    </row>
    <row r="10" spans="1:8">
      <c r="A10" s="2" t="s">
        <v>114</v>
      </c>
      <c r="B10" s="19">
        <v>0.09</v>
      </c>
    </row>
    <row r="11" spans="1:8">
      <c r="A11" s="2" t="s">
        <v>115</v>
      </c>
      <c r="B11" s="19">
        <v>0.125</v>
      </c>
    </row>
    <row r="13" spans="1:8">
      <c r="A13" s="54" t="s">
        <v>52</v>
      </c>
      <c r="B13" s="54"/>
      <c r="C13" s="54"/>
      <c r="D13" s="54"/>
      <c r="E13" s="54"/>
      <c r="F13" s="54"/>
      <c r="G13" s="54"/>
    </row>
    <row r="14" spans="1:8">
      <c r="A14" s="3" t="s">
        <v>53</v>
      </c>
      <c r="B14" s="3" t="s">
        <v>54</v>
      </c>
      <c r="C14" s="3" t="s">
        <v>55</v>
      </c>
      <c r="D14" s="3" t="s">
        <v>56</v>
      </c>
      <c r="E14" s="3" t="s">
        <v>57</v>
      </c>
      <c r="F14" s="3" t="s">
        <v>58</v>
      </c>
      <c r="G14" s="3" t="s">
        <v>59</v>
      </c>
    </row>
    <row r="15" spans="1:8">
      <c r="A15" s="2" t="s">
        <v>116</v>
      </c>
      <c r="B15" s="30"/>
      <c r="C15" s="25"/>
      <c r="D15" s="25"/>
      <c r="E15" s="25"/>
      <c r="F15" s="25"/>
      <c r="G15" s="26"/>
    </row>
    <row r="16" spans="1:8">
      <c r="A16" s="2" t="s">
        <v>66</v>
      </c>
      <c r="B16" s="32"/>
      <c r="C16" s="25"/>
      <c r="D16" s="25"/>
      <c r="E16" s="25"/>
      <c r="F16" s="25"/>
      <c r="G16" s="26"/>
    </row>
    <row r="17" spans="1:7">
      <c r="A17" s="2" t="s">
        <v>67</v>
      </c>
      <c r="B17" s="29"/>
      <c r="C17" s="23"/>
      <c r="D17" s="23"/>
      <c r="E17" s="23"/>
      <c r="F17" s="23"/>
      <c r="G17" s="24"/>
    </row>
    <row r="18" spans="1:7">
      <c r="A18" s="2" t="s">
        <v>68</v>
      </c>
      <c r="B18" s="30"/>
      <c r="C18" s="25"/>
      <c r="D18" s="25"/>
      <c r="E18" s="25"/>
      <c r="F18" s="25"/>
      <c r="G18" s="26"/>
    </row>
    <row r="19" spans="1:7">
      <c r="A19" s="2" t="s">
        <v>69</v>
      </c>
      <c r="B19" s="30"/>
      <c r="C19" s="25"/>
      <c r="D19" s="25"/>
      <c r="E19" s="25"/>
      <c r="F19" s="25"/>
      <c r="G19" s="26"/>
    </row>
    <row r="20" spans="1:7">
      <c r="A20" s="2" t="s">
        <v>70</v>
      </c>
      <c r="B20" s="59"/>
      <c r="C20" s="60"/>
      <c r="D20" s="60"/>
      <c r="E20" s="60"/>
      <c r="F20" s="60"/>
      <c r="G20" s="61"/>
    </row>
    <row r="23" spans="1:7">
      <c r="A23" s="54" t="s">
        <v>71</v>
      </c>
      <c r="B23" s="54"/>
      <c r="C23" s="54"/>
      <c r="D23" s="54"/>
      <c r="E23" s="54"/>
      <c r="F23" s="54"/>
      <c r="G23" s="54"/>
    </row>
    <row r="24" spans="1:7">
      <c r="A24" s="3" t="s">
        <v>53</v>
      </c>
      <c r="B24" s="3" t="s">
        <v>54</v>
      </c>
      <c r="C24" s="3" t="s">
        <v>55</v>
      </c>
      <c r="D24" s="3" t="s">
        <v>56</v>
      </c>
      <c r="E24" s="3" t="s">
        <v>57</v>
      </c>
      <c r="F24" s="3" t="s">
        <v>58</v>
      </c>
      <c r="G24" s="3" t="s">
        <v>59</v>
      </c>
    </row>
    <row r="25" spans="1:7">
      <c r="A25" s="2" t="s">
        <v>116</v>
      </c>
      <c r="B25" s="30"/>
      <c r="C25" s="25"/>
      <c r="D25" s="25"/>
      <c r="E25" s="25"/>
      <c r="F25" s="25"/>
      <c r="G25" s="26"/>
    </row>
    <row r="26" spans="1:7">
      <c r="A26" s="2" t="s">
        <v>66</v>
      </c>
      <c r="B26" s="32"/>
      <c r="C26" s="25"/>
      <c r="D26" s="25"/>
      <c r="E26" s="25"/>
      <c r="F26" s="25"/>
      <c r="G26" s="26"/>
    </row>
    <row r="27" spans="1:7">
      <c r="A27" s="2" t="s">
        <v>67</v>
      </c>
      <c r="B27" s="29"/>
      <c r="C27" s="23"/>
      <c r="D27" s="23"/>
      <c r="E27" s="23"/>
      <c r="F27" s="23"/>
      <c r="G27" s="24"/>
    </row>
    <row r="28" spans="1:7">
      <c r="A28" s="2" t="s">
        <v>68</v>
      </c>
      <c r="B28" s="30"/>
      <c r="C28" s="25"/>
      <c r="D28" s="25"/>
      <c r="E28" s="25"/>
      <c r="F28" s="25"/>
      <c r="G28" s="26"/>
    </row>
    <row r="29" spans="1:7">
      <c r="A29" s="2" t="s">
        <v>69</v>
      </c>
      <c r="B29" s="30"/>
      <c r="C29" s="25"/>
      <c r="D29" s="25"/>
      <c r="E29" s="25"/>
      <c r="F29" s="25"/>
      <c r="G29" s="26"/>
    </row>
    <row r="30" spans="1:7">
      <c r="A30" s="2" t="s">
        <v>70</v>
      </c>
      <c r="B30" s="59"/>
      <c r="C30" s="60"/>
      <c r="D30" s="60"/>
      <c r="E30" s="60"/>
      <c r="F30" s="60"/>
      <c r="G30" s="61"/>
    </row>
    <row r="33" spans="1:7">
      <c r="A33" s="54" t="s">
        <v>72</v>
      </c>
      <c r="B33" s="54"/>
      <c r="C33" s="54"/>
      <c r="D33" s="54"/>
      <c r="E33" s="54"/>
      <c r="F33" s="54"/>
      <c r="G33" s="54"/>
    </row>
    <row r="34" spans="1:7">
      <c r="A34" s="3" t="s">
        <v>73</v>
      </c>
      <c r="B34" s="3" t="s">
        <v>25</v>
      </c>
    </row>
    <row r="35" spans="1:7" ht="16">
      <c r="A35" s="2" t="s">
        <v>75</v>
      </c>
      <c r="B35" s="33">
        <f>B20</f>
        <v>0</v>
      </c>
    </row>
    <row r="36" spans="1:7" ht="16">
      <c r="A36" s="2" t="s">
        <v>117</v>
      </c>
      <c r="B36" s="34">
        <f>B30</f>
        <v>0</v>
      </c>
    </row>
    <row r="37" spans="1:7" ht="16">
      <c r="A37" s="2" t="s">
        <v>118</v>
      </c>
      <c r="B37" s="34">
        <f>B36-B35</f>
        <v>0</v>
      </c>
    </row>
    <row r="38" spans="1:7" ht="16">
      <c r="A38" s="2" t="s">
        <v>119</v>
      </c>
      <c r="B38" s="39" t="str">
        <f>IF(B35=0,"",B37/B35)</f>
        <v/>
      </c>
    </row>
    <row r="40" spans="1:7">
      <c r="A40" s="57" t="s">
        <v>120</v>
      </c>
      <c r="B40" s="57"/>
      <c r="C40" s="57"/>
      <c r="D40" s="57"/>
      <c r="E40" s="57"/>
      <c r="F40" s="57"/>
      <c r="G40" s="57"/>
    </row>
    <row r="41" spans="1:7">
      <c r="A41" s="57"/>
      <c r="B41" s="57"/>
      <c r="C41" s="57"/>
      <c r="D41" s="57"/>
      <c r="E41" s="57"/>
      <c r="F41" s="57"/>
      <c r="G41" s="57"/>
    </row>
    <row r="42" spans="1:7">
      <c r="A42" s="57"/>
      <c r="B42" s="57"/>
      <c r="C42" s="57"/>
      <c r="D42" s="57"/>
      <c r="E42" s="57"/>
      <c r="F42" s="57"/>
      <c r="G42" s="57"/>
    </row>
    <row r="43" spans="1:7">
      <c r="A43" s="57"/>
      <c r="B43" s="57"/>
      <c r="C43" s="57"/>
      <c r="D43" s="57"/>
      <c r="E43" s="57"/>
      <c r="F43" s="57"/>
      <c r="G43" s="57"/>
    </row>
  </sheetData>
  <mergeCells count="11">
    <mergeCell ref="A13:G13"/>
    <mergeCell ref="A23:G23"/>
    <mergeCell ref="A33:G33"/>
    <mergeCell ref="A40:G43"/>
    <mergeCell ref="B20:G20"/>
    <mergeCell ref="B30:G30"/>
    <mergeCell ref="A1:H1"/>
    <mergeCell ref="A2:H2"/>
    <mergeCell ref="A4:C4"/>
    <mergeCell ref="E4:H4"/>
    <mergeCell ref="E5:H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
  <sheetViews>
    <sheetView showGridLines="0" workbookViewId="0">
      <selection activeCell="J19" sqref="J19"/>
    </sheetView>
  </sheetViews>
  <sheetFormatPr baseColWidth="10" defaultColWidth="8.83203125" defaultRowHeight="15"/>
  <cols>
    <col min="1" max="1" width="22" customWidth="1"/>
    <col min="2" max="2" width="18" customWidth="1"/>
    <col min="3" max="3" width="24" customWidth="1"/>
    <col min="4" max="6" width="16" customWidth="1"/>
    <col min="7" max="7" width="14" customWidth="1"/>
    <col min="8" max="8" width="4" customWidth="1"/>
  </cols>
  <sheetData>
    <row r="1" spans="1:8" ht="37.25" customHeight="1">
      <c r="A1" s="52" t="s">
        <v>121</v>
      </c>
      <c r="B1" s="52"/>
      <c r="C1" s="52"/>
      <c r="D1" s="52"/>
      <c r="E1" s="52"/>
      <c r="F1" s="52"/>
      <c r="G1" s="52"/>
      <c r="H1" s="52"/>
    </row>
    <row r="2" spans="1:8">
      <c r="A2" s="53" t="s">
        <v>122</v>
      </c>
      <c r="B2" s="53"/>
      <c r="C2" s="53"/>
      <c r="D2" s="53"/>
      <c r="E2" s="53"/>
      <c r="F2" s="53"/>
      <c r="G2" s="53"/>
      <c r="H2" s="53"/>
    </row>
    <row r="4" spans="1:8">
      <c r="A4" s="54" t="s">
        <v>123</v>
      </c>
      <c r="B4" s="54"/>
      <c r="C4" s="54"/>
      <c r="D4" s="54"/>
      <c r="E4" s="54"/>
      <c r="F4" s="54"/>
      <c r="G4" s="54"/>
      <c r="H4" s="54"/>
    </row>
    <row r="5" spans="1:8">
      <c r="A5" s="3" t="s">
        <v>124</v>
      </c>
      <c r="B5" s="3" t="s">
        <v>125</v>
      </c>
      <c r="C5" s="3" t="s">
        <v>126</v>
      </c>
      <c r="D5" s="3" t="s">
        <v>75</v>
      </c>
      <c r="E5" s="3" t="s">
        <v>127</v>
      </c>
      <c r="F5" s="3" t="s">
        <v>128</v>
      </c>
      <c r="G5" s="3" t="s">
        <v>129</v>
      </c>
    </row>
    <row r="6" spans="1:8">
      <c r="A6" s="10" t="s">
        <v>130</v>
      </c>
      <c r="B6" s="5" t="s">
        <v>131</v>
      </c>
      <c r="C6" s="6" t="s">
        <v>132</v>
      </c>
      <c r="D6" s="46">
        <f>'G1 Hotel'!B48</f>
        <v>0</v>
      </c>
      <c r="E6" s="47">
        <f>'G1 Hotel'!B49</f>
        <v>0</v>
      </c>
      <c r="F6" s="40">
        <f>E6-D6</f>
        <v>0</v>
      </c>
      <c r="G6" s="43" t="str">
        <f>IF(D6=0,"",F6/D6)</f>
        <v/>
      </c>
    </row>
    <row r="7" spans="1:8">
      <c r="A7" s="11" t="s">
        <v>133</v>
      </c>
      <c r="B7" s="4" t="s">
        <v>134</v>
      </c>
      <c r="C7" s="7" t="s">
        <v>63</v>
      </c>
      <c r="D7" s="48">
        <f>'G2 Agroindustria'!B48</f>
        <v>0</v>
      </c>
      <c r="E7" s="49">
        <f>'G2 Agroindustria'!B49</f>
        <v>0</v>
      </c>
      <c r="F7" s="41">
        <f>E7-D7</f>
        <v>0</v>
      </c>
      <c r="G7" s="44" t="str">
        <f>IF(D7=0,"",F7/D7)</f>
        <v/>
      </c>
    </row>
    <row r="8" spans="1:8">
      <c r="A8" s="11" t="s">
        <v>135</v>
      </c>
      <c r="B8" s="4" t="s">
        <v>131</v>
      </c>
      <c r="C8" s="7" t="s">
        <v>136</v>
      </c>
      <c r="D8" s="48">
        <f>'G3 Consumo'!B48</f>
        <v>0</v>
      </c>
      <c r="E8" s="49">
        <f>'G3 Consumo'!B49</f>
        <v>0</v>
      </c>
      <c r="F8" s="41">
        <f>E8-D8</f>
        <v>0</v>
      </c>
      <c r="G8" s="44" t="str">
        <f>IF(D8=0,"",F8/D8)</f>
        <v/>
      </c>
    </row>
    <row r="9" spans="1:8">
      <c r="A9" s="12" t="s">
        <v>137</v>
      </c>
      <c r="B9" s="8" t="s">
        <v>138</v>
      </c>
      <c r="C9" s="9" t="s">
        <v>51</v>
      </c>
      <c r="D9" s="50">
        <f>'G4 Solar'!B35</f>
        <v>0</v>
      </c>
      <c r="E9" s="51">
        <f>'G4 Solar'!B36</f>
        <v>0</v>
      </c>
      <c r="F9" s="42">
        <f>E9-D9</f>
        <v>0</v>
      </c>
      <c r="G9" s="45" t="str">
        <f>IF(D9=0,"",F9/D9)</f>
        <v/>
      </c>
    </row>
    <row r="12" spans="1:8">
      <c r="A12" s="54" t="s">
        <v>139</v>
      </c>
      <c r="B12" s="54"/>
      <c r="C12" s="54"/>
      <c r="D12" s="54"/>
      <c r="E12" s="54"/>
      <c r="F12" s="54"/>
      <c r="G12" s="54"/>
    </row>
    <row r="13" spans="1:8">
      <c r="A13" s="57" t="s">
        <v>140</v>
      </c>
      <c r="B13" s="57"/>
      <c r="C13" s="57"/>
      <c r="D13" s="57"/>
      <c r="E13" s="57"/>
      <c r="F13" s="57"/>
      <c r="G13" s="57"/>
    </row>
    <row r="14" spans="1:8">
      <c r="A14" s="57"/>
      <c r="B14" s="57"/>
      <c r="C14" s="57"/>
      <c r="D14" s="57"/>
      <c r="E14" s="57"/>
      <c r="F14" s="57"/>
      <c r="G14" s="57"/>
    </row>
    <row r="15" spans="1:8">
      <c r="A15" s="57"/>
      <c r="B15" s="57"/>
      <c r="C15" s="57"/>
      <c r="D15" s="57"/>
      <c r="E15" s="57"/>
      <c r="F15" s="57"/>
      <c r="G15" s="57"/>
    </row>
    <row r="16" spans="1:8">
      <c r="A16" s="57"/>
      <c r="B16" s="57"/>
      <c r="C16" s="57"/>
      <c r="D16" s="57"/>
      <c r="E16" s="57"/>
      <c r="F16" s="57"/>
      <c r="G16" s="57"/>
    </row>
    <row r="17" spans="1:7">
      <c r="A17" s="57"/>
      <c r="B17" s="57"/>
      <c r="C17" s="57"/>
      <c r="D17" s="57"/>
      <c r="E17" s="57"/>
      <c r="F17" s="57"/>
      <c r="G17" s="57"/>
    </row>
  </sheetData>
  <mergeCells count="5">
    <mergeCell ref="A1:H1"/>
    <mergeCell ref="A2:H2"/>
    <mergeCell ref="A4:H4"/>
    <mergeCell ref="A12:G12"/>
    <mergeCell ref="A13:G17"/>
  </mergeCells>
  <conditionalFormatting sqref="F6:F9">
    <cfRule type="expression" dxfId="1" priority="1">
      <formula>F6&lt;0</formula>
    </cfRule>
    <cfRule type="expression" dxfId="0" priority="2">
      <formula>F6&gt;0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Inicio</vt:lpstr>
      <vt:lpstr>G1 Hotel</vt:lpstr>
      <vt:lpstr>G2 Agroindustria</vt:lpstr>
      <vt:lpstr>G3 Consumo</vt:lpstr>
      <vt:lpstr>G4 Solar</vt:lpstr>
      <vt:lpstr>Comparación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PAULO AUGUSTO GARRIDO GRIJALVA</cp:lastModifiedBy>
  <dcterms:modified xsi:type="dcterms:W3CDTF">2026-09-19T00:18:32Z</dcterms:modified>
</cp:coreProperties>
</file>