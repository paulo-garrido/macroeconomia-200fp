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aulogarridogrijalva/Documents/Docencia/2026/III/Macroeconomía/macroeconomia-200fp/laboratorios/sesion09/"/>
    </mc:Choice>
  </mc:AlternateContent>
  <xr:revisionPtr revIDLastSave="0" documentId="13_ncr:1_{8159990E-0A2B-7E41-A522-87CC91B6F294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Proyecto" sheetId="1" r:id="rId1"/>
    <sheet name="Credito" sheetId="2" r:id="rId2"/>
    <sheet name="Actividad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G14" i="2"/>
  <c r="F14" i="2"/>
  <c r="E14" i="2"/>
  <c r="D14" i="2"/>
  <c r="C14" i="2"/>
  <c r="C13" i="2"/>
  <c r="C17" i="2" s="1"/>
  <c r="D13" i="2" s="1"/>
  <c r="C30" i="1"/>
  <c r="D30" i="1" s="1"/>
  <c r="E30" i="1" s="1"/>
  <c r="F30" i="1" s="1"/>
  <c r="G30" i="1" s="1"/>
  <c r="C29" i="1"/>
  <c r="D29" i="1" s="1"/>
  <c r="E29" i="1" s="1"/>
  <c r="F29" i="1" s="1"/>
  <c r="G29" i="1" s="1"/>
  <c r="C28" i="1"/>
  <c r="C27" i="1"/>
  <c r="D27" i="1" s="1"/>
  <c r="E27" i="1" s="1"/>
  <c r="F27" i="1" s="1"/>
  <c r="G27" i="1" s="1"/>
  <c r="C19" i="1"/>
  <c r="C31" i="1" l="1"/>
  <c r="C32" i="1" s="1"/>
  <c r="C34" i="1"/>
  <c r="D17" i="2"/>
  <c r="E13" i="2" s="1"/>
  <c r="D15" i="2"/>
  <c r="D16" i="2" s="1"/>
  <c r="C19" i="2"/>
  <c r="C33" i="1"/>
  <c r="C35" i="1" s="1"/>
  <c r="D28" i="1"/>
  <c r="D34" i="1"/>
  <c r="C15" i="2"/>
  <c r="C16" i="2" s="1"/>
  <c r="E34" i="1"/>
  <c r="F34" i="1"/>
  <c r="G34" i="1"/>
  <c r="C21" i="2" l="1"/>
  <c r="C20" i="2"/>
  <c r="D31" i="1"/>
  <c r="E28" i="1"/>
  <c r="E17" i="2"/>
  <c r="F13" i="2" s="1"/>
  <c r="E15" i="2"/>
  <c r="E16" i="2" s="1"/>
  <c r="E31" i="1" l="1"/>
  <c r="F28" i="1"/>
  <c r="F17" i="2"/>
  <c r="G13" i="2" s="1"/>
  <c r="F15" i="2"/>
  <c r="F16" i="2" s="1"/>
  <c r="D33" i="1"/>
  <c r="D35" i="1" s="1"/>
  <c r="D19" i="2"/>
  <c r="D32" i="1"/>
  <c r="F31" i="1" l="1"/>
  <c r="G28" i="1"/>
  <c r="G31" i="1" s="1"/>
  <c r="D21" i="2"/>
  <c r="D20" i="2"/>
  <c r="G17" i="2"/>
  <c r="G15" i="2"/>
  <c r="G16" i="2" s="1"/>
  <c r="E33" i="1"/>
  <c r="E35" i="1" s="1"/>
  <c r="E19" i="2"/>
  <c r="E32" i="1"/>
  <c r="F19" i="2" l="1"/>
  <c r="F33" i="1"/>
  <c r="F35" i="1" s="1"/>
  <c r="F32" i="1"/>
  <c r="G19" i="2"/>
  <c r="G21" i="2" s="1"/>
  <c r="G33" i="1"/>
  <c r="G35" i="1" s="1"/>
  <c r="G32" i="1"/>
  <c r="E21" i="2"/>
  <c r="E20" i="2"/>
  <c r="C5" i="1" l="1"/>
  <c r="C4" i="1"/>
  <c r="C6" i="1" s="1"/>
  <c r="F21" i="2"/>
  <c r="F20" i="2"/>
  <c r="G20" i="2"/>
</calcChain>
</file>

<file path=xl/sharedStrings.xml><?xml version="1.0" encoding="utf-8"?>
<sst xmlns="http://schemas.openxmlformats.org/spreadsheetml/2006/main" count="84" uniqueCount="80">
  <si>
    <t>Dinero e inflación: valor del proyecto</t>
  </si>
  <si>
    <t>VAN nominal (Q de hoy)</t>
  </si>
  <si>
    <t>VAN real equivalente (Q de hoy)</t>
  </si>
  <si>
    <t>Diferencia de valoración (Q)</t>
  </si>
  <si>
    <t>Entradas amarillas editables. Años al cierre.</t>
  </si>
  <si>
    <t>Supuestos académicos. No son pronósticos.</t>
  </si>
  <si>
    <t>Supuestos en Q del año 0</t>
  </si>
  <si>
    <t>Inversión inicial</t>
  </si>
  <si>
    <t>Unidades por año</t>
  </si>
  <si>
    <t>Precio unitario año 0</t>
  </si>
  <si>
    <t>Costo variable unitario año 0</t>
  </si>
  <si>
    <t>Costos fijos anuales año 0</t>
  </si>
  <si>
    <t>Rentabilidad real requerida</t>
  </si>
  <si>
    <t>Inflación esperada al evaluar</t>
  </si>
  <si>
    <t>Tasa nominal requerida</t>
  </si>
  <si>
    <t>Trayectorias anuales</t>
  </si>
  <si>
    <t>Inflación general / deflactor</t>
  </si>
  <si>
    <t>Ajuste del precio de venta</t>
  </si>
  <si>
    <t>Aumento del costo variable</t>
  </si>
  <si>
    <t>Aumento de costos fijos</t>
  </si>
  <si>
    <t>Índice general (año 0 = 1)</t>
  </si>
  <si>
    <t>Precio unitario nominal (Q)</t>
  </si>
  <si>
    <t>Costo variable unitario nominal (Q)</t>
  </si>
  <si>
    <t>Costos fijos nominales (Q)</t>
  </si>
  <si>
    <t>Flujo operativo nominal (Q)</t>
  </si>
  <si>
    <t>Valor presente nominal (Q)</t>
  </si>
  <si>
    <t>Flujo real (Q del año 0)</t>
  </si>
  <si>
    <t>Factor de descuento real acumulado</t>
  </si>
  <si>
    <t>Valor presente real (Q del año 0)</t>
  </si>
  <si>
    <t>Flujo simplificado antes de deuda. Cobros y pagos ocurren al cierre de cada año.</t>
  </si>
  <si>
    <t>Sin impuestos, capital de trabajo, reposición ni valor residual. No es una evaluación completa.</t>
  </si>
  <si>
    <t>La tasa nominal usa inflación esperada. El deflactor usa la trayectoria del escenario.</t>
  </si>
  <si>
    <t>El factor real equivalente conserva el mismo valor presente incluso si cambia la inflación.</t>
  </si>
  <si>
    <t>Prueba: cambie costos y precios por separado. Un IPC mayor no fija el precio de cada insumo.</t>
  </si>
  <si>
    <t>Crédito y capacidad de pago</t>
  </si>
  <si>
    <t>Crédito inicial (Q)</t>
  </si>
  <si>
    <t>Plazo: 5 años. Principal igual cada año.</t>
  </si>
  <si>
    <t>Tasa nominal base del préstamo</t>
  </si>
  <si>
    <t>Cambio supuesto en tasa líder (p.p.)</t>
  </si>
  <si>
    <t>Fracción de transmisión al préstamo</t>
  </si>
  <si>
    <t>0 = tasa fija / 1 = tasa variable</t>
  </si>
  <si>
    <t>Tasa nominal del préstamo aplicada</t>
  </si>
  <si>
    <t>Calendario anual</t>
  </si>
  <si>
    <t>Saldo inicial</t>
  </si>
  <si>
    <t>Amortización de principal</t>
  </si>
  <si>
    <t>Intereses</t>
  </si>
  <si>
    <t>Servicio de deuda</t>
  </si>
  <si>
    <t>Saldo final</t>
  </si>
  <si>
    <t>Flujo operativo disponible</t>
  </si>
  <si>
    <t>Cobertura de deuda (veces)</t>
  </si>
  <si>
    <t>Efectivo después de deuda</t>
  </si>
  <si>
    <t>La variación se aplica desde el año 1 a todo el saldo de tasa variable.</t>
  </si>
  <si>
    <t>La tasa líder, la tasa del préstamo y la tasa de descuento son distintas.</t>
  </si>
  <si>
    <t>El VAN de Proyecto usa flujo antes de deuda. No reste aquí intereses otra vez.</t>
  </si>
  <si>
    <t>Cobertura menor que 1: el flujo simplificado no cubre el servicio anual.</t>
  </si>
  <si>
    <t>Laboratorio: decisiones y evidencia</t>
  </si>
  <si>
    <t>Trabajo grupal: 45 minutos + discusión.</t>
  </si>
  <si>
    <t>Cuatro experimentos con registro de resultados</t>
  </si>
  <si>
    <t>Prediga el efecto antes de cambiar celdas.</t>
  </si>
  <si>
    <t>Registre resultados como valores: son capturas de cada experimento.</t>
  </si>
  <si>
    <t>El modelo recalcula el experimento activo. El registro conserva los anteriores.</t>
  </si>
  <si>
    <t>Registro del grupo</t>
  </si>
  <si>
    <t>VAN (Q)</t>
  </si>
  <si>
    <t>Cobertura año 1</t>
  </si>
  <si>
    <t>Flujo año 1 (Q)</t>
  </si>
  <si>
    <t>Qué cambió</t>
  </si>
  <si>
    <t>Decisión</t>
  </si>
  <si>
    <t>1. Base</t>
  </si>
  <si>
    <t>2. Sorpresa de costos</t>
  </si>
  <si>
    <t>3. Respuesta comercial</t>
  </si>
  <si>
    <t>4. Crédito</t>
  </si>
  <si>
    <t>Todo a 4%. Registre el VAN y la cobertura.</t>
  </si>
  <si>
    <t>Años 1 y 2: inflación 8%, precio 4%, CV 10%, CF 8%.</t>
  </si>
  <si>
    <t>Sobre el caso 2, ajuste precios a 8% en años 1 y 2.</t>
  </si>
  <si>
    <t>Compare tasa fija 0 y variable 1. Mantenga el mismo proyecto.</t>
  </si>
  <si>
    <t>Cierre: recomendación de hasta 150 palabras, con dos resultados numéricos.</t>
  </si>
  <si>
    <t>¿Puede subir el flujo nominal y caer el poder adquisitivo? ¿Qué contrato revisaría?</t>
  </si>
  <si>
    <t>Fuente de cifras: supuestos académicos del caso, sesión 09.</t>
  </si>
  <si>
    <t>Método: Fisher exacto y descuento de flujos al cierre.</t>
  </si>
  <si>
    <t>SUPUESTOS DEL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</si>
</sst>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Q&quot;#,##0.00;[Red]\-&quot;Q&quot;#,##0.00"/>
    <numFmt numFmtId="164" formatCode="&quot;Q&quot;\ #,##0;\(&quot;Q&quot;\ #,##0\);&quot;–&quot;"/>
    <numFmt numFmtId="165" formatCode="0.0%"/>
    <numFmt numFmtId="166" formatCode="0.000"/>
    <numFmt numFmtId="167" formatCode="0.00&quot; x&quot;"/>
    <numFmt numFmtId="168" formatCode="&quot;Q&quot;\ #,##0.00"/>
    <numFmt numFmtId="169" formatCode="&quot;Q&quot;\ #,##0.00;\(&quot;Q&quot;\ #,##0.00\);&quot;Q 0.00&quot;"/>
    <numFmt numFmtId="170" formatCode="&quot;Q&quot;#,##0.00"/>
  </numFmts>
  <fonts count="10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008000"/>
      <name val="Arial"/>
      <family val="2"/>
    </font>
    <font>
      <sz val="16"/>
      <color rgb="FF0B2E4F"/>
      <name val="Arial"/>
      <family val="2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2E4F"/>
      </patternFill>
    </fill>
    <fill>
      <patternFill patternType="solid">
        <fgColor rgb="FFFFF2CC"/>
      </patternFill>
    </fill>
    <fill>
      <patternFill patternType="solid">
        <fgColor rgb="FFEE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10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4" fillId="4" borderId="0" xfId="0" applyFont="1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" fontId="3" fillId="3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1" fillId="3" borderId="0" xfId="0" applyNumberFormat="1" applyFont="1" applyFill="1" applyAlignment="1">
      <alignment vertical="center"/>
    </xf>
    <xf numFmtId="167" fontId="1" fillId="3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168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0" fontId="8" fillId="0" borderId="0" xfId="0" applyFont="1"/>
    <xf numFmtId="165" fontId="3" fillId="3" borderId="0" xfId="1" applyNumberFormat="1" applyFont="1" applyFill="1" applyAlignment="1">
      <alignment vertical="center"/>
    </xf>
    <xf numFmtId="8" fontId="0" fillId="0" borderId="0" xfId="0" applyNumberFormat="1"/>
    <xf numFmtId="170" fontId="1" fillId="0" borderId="0" xfId="0" applyNumberFormat="1" applyFont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E4F"/>
  </sheetPr>
  <dimension ref="A1:H43"/>
  <sheetViews>
    <sheetView showGridLines="0" workbookViewId="0">
      <pane ySplit="3" topLeftCell="A12" activePane="bottomLeft" state="frozen"/>
      <selection pane="bottomLeft" activeCell="D23" sqref="D23"/>
    </sheetView>
  </sheetViews>
  <sheetFormatPr baseColWidth="10" defaultColWidth="8.83203125" defaultRowHeight="14"/>
  <cols>
    <col min="1" max="1" width="3" customWidth="1"/>
    <col min="2" max="2" width="43" customWidth="1"/>
    <col min="3" max="7" width="18" customWidth="1"/>
    <col min="8" max="8" width="13" bestFit="1" customWidth="1"/>
  </cols>
  <sheetData>
    <row r="1" spans="1:7" ht="25" customHeight="1">
      <c r="A1" s="1"/>
      <c r="B1" s="1"/>
      <c r="C1" s="1"/>
      <c r="D1" s="1"/>
      <c r="E1" s="1"/>
      <c r="F1" s="1"/>
      <c r="G1" s="1"/>
    </row>
    <row r="2" spans="1:7" ht="25" customHeight="1">
      <c r="A2" s="1"/>
      <c r="B2" s="20" t="s">
        <v>0</v>
      </c>
      <c r="C2" s="2"/>
      <c r="D2" s="2"/>
      <c r="E2" s="2"/>
      <c r="F2" s="2"/>
      <c r="G2" s="2"/>
    </row>
    <row r="3" spans="1:7" ht="25" customHeight="1">
      <c r="A3" s="1"/>
      <c r="B3" s="2"/>
      <c r="C3" s="2"/>
      <c r="D3" s="2"/>
      <c r="E3" s="2"/>
      <c r="F3" s="2"/>
      <c r="G3" s="2"/>
    </row>
    <row r="4" spans="1:7" ht="25" customHeight="1">
      <c r="A4" s="1"/>
      <c r="B4" s="2" t="s">
        <v>1</v>
      </c>
      <c r="C4" s="3">
        <f>SUM(C32:G32)-C12</f>
        <v>760437.96790719032</v>
      </c>
      <c r="D4" s="2"/>
      <c r="E4" s="2"/>
      <c r="F4" s="2"/>
      <c r="G4" s="2"/>
    </row>
    <row r="5" spans="1:7" ht="25" customHeight="1">
      <c r="A5" s="1"/>
      <c r="B5" s="2" t="s">
        <v>2</v>
      </c>
      <c r="C5" s="3">
        <f>SUM(C35:G35)-C12</f>
        <v>760437.96790719032</v>
      </c>
      <c r="D5" s="2"/>
      <c r="E5" s="2"/>
      <c r="F5" s="2"/>
      <c r="G5" s="2"/>
    </row>
    <row r="6" spans="1:7" ht="25" customHeight="1">
      <c r="A6" s="1"/>
      <c r="B6" s="2" t="s">
        <v>3</v>
      </c>
      <c r="C6" s="22">
        <f>C4-C5</f>
        <v>0</v>
      </c>
      <c r="D6" s="2"/>
      <c r="E6" s="2"/>
      <c r="F6" s="2"/>
      <c r="G6" s="2"/>
    </row>
    <row r="7" spans="1:7" ht="25" customHeight="1">
      <c r="A7" s="1"/>
      <c r="B7" s="2"/>
      <c r="C7" s="2"/>
      <c r="D7" s="2"/>
      <c r="E7" s="2"/>
      <c r="F7" s="2"/>
      <c r="G7" s="2"/>
    </row>
    <row r="8" spans="1:7" ht="25" customHeight="1">
      <c r="A8" s="1"/>
      <c r="B8" s="2" t="s">
        <v>4</v>
      </c>
      <c r="C8" s="2"/>
      <c r="D8" s="2"/>
      <c r="E8" s="2"/>
      <c r="F8" s="2"/>
      <c r="G8" s="2"/>
    </row>
    <row r="9" spans="1:7" ht="25" customHeight="1">
      <c r="A9" s="1"/>
      <c r="B9" s="2" t="s">
        <v>5</v>
      </c>
      <c r="C9" s="2"/>
      <c r="D9" s="2"/>
      <c r="E9" s="2"/>
      <c r="F9" s="2"/>
      <c r="G9" s="2"/>
    </row>
    <row r="10" spans="1:7" ht="25" customHeight="1">
      <c r="A10" s="1"/>
      <c r="B10" s="2"/>
      <c r="C10" s="2"/>
      <c r="D10" s="2"/>
      <c r="E10" s="2"/>
      <c r="F10" s="2"/>
      <c r="G10" s="2"/>
    </row>
    <row r="11" spans="1:7" ht="29" customHeight="1">
      <c r="A11" s="1"/>
      <c r="B11" s="4" t="s">
        <v>6</v>
      </c>
      <c r="C11" s="4"/>
      <c r="D11" s="4"/>
      <c r="E11" s="4"/>
      <c r="F11" s="4"/>
      <c r="G11" s="4"/>
    </row>
    <row r="12" spans="1:7" ht="25" customHeight="1">
      <c r="A12" s="1"/>
      <c r="B12" s="2" t="s">
        <v>7</v>
      </c>
      <c r="C12" s="6">
        <v>2400000</v>
      </c>
      <c r="D12" s="2"/>
      <c r="E12" s="2"/>
      <c r="F12" s="2"/>
      <c r="G12" s="2"/>
    </row>
    <row r="13" spans="1:7" ht="25" customHeight="1">
      <c r="A13" s="1"/>
      <c r="B13" s="2" t="s">
        <v>8</v>
      </c>
      <c r="C13" s="7">
        <v>100000</v>
      </c>
      <c r="D13" s="2"/>
      <c r="E13" s="2"/>
      <c r="F13" s="2"/>
      <c r="G13" s="2"/>
    </row>
    <row r="14" spans="1:7" ht="25" customHeight="1">
      <c r="A14" s="1"/>
      <c r="B14" s="2" t="s">
        <v>9</v>
      </c>
      <c r="C14" s="6">
        <v>30</v>
      </c>
      <c r="D14" s="2"/>
      <c r="E14" s="2"/>
      <c r="F14" s="2"/>
      <c r="G14" s="2"/>
    </row>
    <row r="15" spans="1:7" ht="25" customHeight="1">
      <c r="A15" s="1"/>
      <c r="B15" s="2" t="s">
        <v>10</v>
      </c>
      <c r="C15" s="6">
        <v>18</v>
      </c>
      <c r="D15" s="2"/>
      <c r="E15" s="2"/>
      <c r="F15" s="2"/>
      <c r="G15" s="2"/>
    </row>
    <row r="16" spans="1:7" ht="25" customHeight="1">
      <c r="A16" s="1"/>
      <c r="B16" s="2" t="s">
        <v>11</v>
      </c>
      <c r="C16" s="6">
        <v>400000</v>
      </c>
      <c r="D16" s="2"/>
      <c r="E16" s="2"/>
      <c r="F16" s="2"/>
      <c r="G16" s="2"/>
    </row>
    <row r="17" spans="1:8" ht="25" customHeight="1">
      <c r="A17" s="1"/>
      <c r="B17" s="2" t="s">
        <v>12</v>
      </c>
      <c r="C17" s="8">
        <v>0.08</v>
      </c>
      <c r="D17" s="2"/>
      <c r="E17" s="2"/>
      <c r="F17" s="2"/>
      <c r="G17" s="2"/>
    </row>
    <row r="18" spans="1:8" ht="25" customHeight="1">
      <c r="A18" s="1"/>
      <c r="B18" s="2" t="s">
        <v>13</v>
      </c>
      <c r="C18" s="8">
        <v>0.04</v>
      </c>
      <c r="D18" s="2"/>
      <c r="E18" s="2"/>
      <c r="F18" s="2"/>
      <c r="G18" s="2"/>
    </row>
    <row r="19" spans="1:8" ht="25" customHeight="1">
      <c r="A19" s="1"/>
      <c r="B19" s="2" t="s">
        <v>14</v>
      </c>
      <c r="C19" s="9">
        <f>(1+C17)*(1+C18)-1</f>
        <v>0.1232000000000002</v>
      </c>
      <c r="D19" s="2"/>
      <c r="E19" s="2"/>
      <c r="F19" s="2"/>
      <c r="G19" s="2"/>
    </row>
    <row r="20" spans="1:8" ht="25" customHeight="1">
      <c r="A20" s="1"/>
      <c r="B20" s="2"/>
      <c r="C20" s="2"/>
      <c r="D20" s="2"/>
      <c r="E20" s="2"/>
      <c r="F20" s="2"/>
      <c r="G20" s="2"/>
    </row>
    <row r="21" spans="1:8" ht="29" customHeight="1">
      <c r="A21" s="1"/>
      <c r="B21" s="4" t="s">
        <v>15</v>
      </c>
      <c r="C21" s="4">
        <v>1</v>
      </c>
      <c r="D21" s="4">
        <v>2</v>
      </c>
      <c r="E21" s="4">
        <v>3</v>
      </c>
      <c r="F21" s="4">
        <v>4</v>
      </c>
      <c r="G21" s="4">
        <v>5</v>
      </c>
    </row>
    <row r="22" spans="1:8" ht="25" customHeight="1">
      <c r="A22" s="1"/>
      <c r="B22" s="2" t="s">
        <v>16</v>
      </c>
      <c r="C22" s="8">
        <v>0.08</v>
      </c>
      <c r="D22" s="8">
        <v>0.08</v>
      </c>
      <c r="E22" s="8">
        <v>0.04</v>
      </c>
      <c r="F22" s="8">
        <v>0.04</v>
      </c>
      <c r="G22" s="8">
        <v>0.04</v>
      </c>
    </row>
    <row r="23" spans="1:8" ht="25" customHeight="1">
      <c r="A23" s="1"/>
      <c r="B23" s="2" t="s">
        <v>17</v>
      </c>
      <c r="C23" s="8">
        <v>0.08</v>
      </c>
      <c r="D23" s="8">
        <v>0.08</v>
      </c>
      <c r="E23" s="8">
        <v>0.04</v>
      </c>
      <c r="F23" s="8">
        <v>0.04</v>
      </c>
      <c r="G23" s="8">
        <v>0.04</v>
      </c>
    </row>
    <row r="24" spans="1:8" ht="25" customHeight="1">
      <c r="A24" s="1"/>
      <c r="B24" s="2" t="s">
        <v>18</v>
      </c>
      <c r="C24" s="8">
        <v>0.1</v>
      </c>
      <c r="D24" s="8">
        <v>0.1</v>
      </c>
      <c r="E24" s="8">
        <v>0.04</v>
      </c>
      <c r="F24" s="8">
        <v>0.04</v>
      </c>
      <c r="G24" s="8">
        <v>0.04</v>
      </c>
    </row>
    <row r="25" spans="1:8" ht="25" customHeight="1">
      <c r="A25" s="1"/>
      <c r="B25" s="2" t="s">
        <v>19</v>
      </c>
      <c r="C25" s="8">
        <v>0.08</v>
      </c>
      <c r="D25" s="8">
        <v>0.08</v>
      </c>
      <c r="E25" s="8">
        <v>0.04</v>
      </c>
      <c r="F25" s="8">
        <v>0.04</v>
      </c>
      <c r="G25" s="8">
        <v>0.04</v>
      </c>
    </row>
    <row r="26" spans="1:8" ht="25" customHeight="1">
      <c r="A26" s="1"/>
      <c r="B26" s="2"/>
      <c r="C26" s="2"/>
      <c r="D26" s="2"/>
      <c r="E26" s="2"/>
      <c r="F26" s="2"/>
      <c r="G26" s="2"/>
    </row>
    <row r="27" spans="1:8" ht="25" customHeight="1">
      <c r="A27" s="1"/>
      <c r="B27" s="2" t="s">
        <v>20</v>
      </c>
      <c r="C27" s="10">
        <f>1+C22</f>
        <v>1.08</v>
      </c>
      <c r="D27" s="10">
        <f t="shared" ref="D27:G30" si="0">C27*(1+D22)</f>
        <v>1.1664000000000001</v>
      </c>
      <c r="E27" s="10">
        <f t="shared" si="0"/>
        <v>1.2130560000000001</v>
      </c>
      <c r="F27" s="10">
        <f t="shared" si="0"/>
        <v>1.2615782400000002</v>
      </c>
      <c r="G27" s="10">
        <f t="shared" si="0"/>
        <v>1.3120413696000002</v>
      </c>
    </row>
    <row r="28" spans="1:8" ht="25" customHeight="1">
      <c r="A28" s="1"/>
      <c r="B28" s="2" t="s">
        <v>21</v>
      </c>
      <c r="C28" s="21">
        <f>$C$14*(1+C23)</f>
        <v>32.400000000000006</v>
      </c>
      <c r="D28" s="21">
        <f t="shared" si="0"/>
        <v>34.992000000000012</v>
      </c>
      <c r="E28" s="21">
        <f t="shared" si="0"/>
        <v>36.391680000000015</v>
      </c>
      <c r="F28" s="21">
        <f t="shared" si="0"/>
        <v>37.847347200000016</v>
      </c>
      <c r="G28" s="21">
        <f t="shared" si="0"/>
        <v>39.361241088000021</v>
      </c>
    </row>
    <row r="29" spans="1:8" ht="25" customHeight="1">
      <c r="A29" s="1"/>
      <c r="B29" s="2" t="s">
        <v>22</v>
      </c>
      <c r="C29" s="21">
        <f>$C$15*(1+C24)</f>
        <v>19.8</v>
      </c>
      <c r="D29" s="21">
        <f t="shared" si="0"/>
        <v>21.78</v>
      </c>
      <c r="E29" s="21">
        <f t="shared" si="0"/>
        <v>22.651200000000003</v>
      </c>
      <c r="F29" s="21">
        <f t="shared" si="0"/>
        <v>23.557248000000005</v>
      </c>
      <c r="G29" s="21">
        <f t="shared" si="0"/>
        <v>24.499537920000005</v>
      </c>
    </row>
    <row r="30" spans="1:8" ht="25" customHeight="1">
      <c r="A30" s="1"/>
      <c r="B30" s="2" t="s">
        <v>23</v>
      </c>
      <c r="C30" s="3">
        <f>$C$16*(1+C25)</f>
        <v>432000</v>
      </c>
      <c r="D30" s="3">
        <f t="shared" si="0"/>
        <v>466560.00000000006</v>
      </c>
      <c r="E30" s="3">
        <f t="shared" si="0"/>
        <v>485222.40000000008</v>
      </c>
      <c r="F30" s="3">
        <f t="shared" si="0"/>
        <v>504631.29600000009</v>
      </c>
      <c r="G30" s="3">
        <f t="shared" si="0"/>
        <v>524816.54784000013</v>
      </c>
    </row>
    <row r="31" spans="1:8" ht="25" customHeight="1">
      <c r="A31" s="1"/>
      <c r="B31" s="11" t="s">
        <v>24</v>
      </c>
      <c r="C31" s="12">
        <f>$C$13*(C28-C29)-C30</f>
        <v>828000.00000000047</v>
      </c>
      <c r="D31" s="12">
        <f>$C$13*(D28-D29)-D30</f>
        <v>854640.00000000093</v>
      </c>
      <c r="E31" s="12">
        <f>$C$13*(E28-E29)-E30</f>
        <v>888825.60000000102</v>
      </c>
      <c r="F31" s="12">
        <f>$C$13*(F28-F29)-F30</f>
        <v>924378.624000001</v>
      </c>
      <c r="G31" s="12">
        <f>$C$13*(G28-G29)-G30</f>
        <v>961353.76896000141</v>
      </c>
      <c r="H31" s="25"/>
    </row>
    <row r="32" spans="1:8" ht="25" customHeight="1">
      <c r="A32" s="1"/>
      <c r="B32" s="2" t="s">
        <v>25</v>
      </c>
      <c r="C32" s="3">
        <f>C31/(1+$C$19)^C$21</f>
        <v>737179.48717948748</v>
      </c>
      <c r="D32" s="3">
        <f>D31/(1+$C$19)^D$21</f>
        <v>677437.17583461222</v>
      </c>
      <c r="E32" s="3">
        <f>E31/(1+$C$19)^E$21</f>
        <v>627256.64429130754</v>
      </c>
      <c r="F32" s="3">
        <f>F31/(1+$C$19)^F$21</f>
        <v>580793.18915861798</v>
      </c>
      <c r="G32" s="3">
        <f>G31/(1+$C$19)^G$21</f>
        <v>537771.47144316486</v>
      </c>
    </row>
    <row r="33" spans="1:7" ht="25" customHeight="1">
      <c r="A33" s="1"/>
      <c r="B33" s="2" t="s">
        <v>26</v>
      </c>
      <c r="C33" s="3">
        <f>C31/C27</f>
        <v>766666.66666666709</v>
      </c>
      <c r="D33" s="3">
        <f>D31/D27</f>
        <v>732716.04938271677</v>
      </c>
      <c r="E33" s="3">
        <f>E31/E27</f>
        <v>732716.04938271677</v>
      </c>
      <c r="F33" s="3">
        <f>F31/F27</f>
        <v>732716.04938271677</v>
      </c>
      <c r="G33" s="3">
        <f>G31/G27</f>
        <v>732716.049382717</v>
      </c>
    </row>
    <row r="34" spans="1:7" ht="25" customHeight="1">
      <c r="A34" s="1"/>
      <c r="B34" s="2" t="s">
        <v>27</v>
      </c>
      <c r="C34" s="10">
        <f>(1+$C$19)^C$21/C27</f>
        <v>1.04</v>
      </c>
      <c r="D34" s="10">
        <f>(1+$C$19)^D$21/D27</f>
        <v>1.0816000000000003</v>
      </c>
      <c r="E34" s="10">
        <f>(1+$C$19)^E$21/E27</f>
        <v>1.1681280000000005</v>
      </c>
      <c r="F34" s="10">
        <f>(1+$C$19)^F$21/F27</f>
        <v>1.2615782400000006</v>
      </c>
      <c r="G34" s="10">
        <f>(1+$C$19)^G$21/G27</f>
        <v>1.3625044992000011</v>
      </c>
    </row>
    <row r="35" spans="1:7" ht="25" customHeight="1">
      <c r="A35" s="1"/>
      <c r="B35" s="11" t="s">
        <v>28</v>
      </c>
      <c r="C35" s="12">
        <f>C33/C34</f>
        <v>737179.48717948759</v>
      </c>
      <c r="D35" s="12">
        <f>D33/D34</f>
        <v>677437.17583461222</v>
      </c>
      <c r="E35" s="12">
        <f>E33/E34</f>
        <v>627256.64429130754</v>
      </c>
      <c r="F35" s="12">
        <f>F33/F34</f>
        <v>580793.18915861798</v>
      </c>
      <c r="G35" s="12">
        <f>G33/G34</f>
        <v>537771.47144316486</v>
      </c>
    </row>
    <row r="36" spans="1:7" ht="25" customHeight="1">
      <c r="A36" s="1"/>
      <c r="B36" s="2"/>
      <c r="C36" s="26"/>
      <c r="D36" s="26"/>
      <c r="E36" s="26"/>
      <c r="F36" s="26"/>
      <c r="G36" s="26"/>
    </row>
    <row r="37" spans="1:7" ht="25" customHeight="1">
      <c r="A37" s="1"/>
      <c r="B37" s="2"/>
      <c r="C37" s="2"/>
      <c r="D37" s="2"/>
      <c r="E37" s="2"/>
      <c r="F37" s="2"/>
      <c r="G37" s="2"/>
    </row>
    <row r="38" spans="1:7" ht="25" customHeight="1">
      <c r="A38" s="1"/>
      <c r="B38" s="13" t="s">
        <v>29</v>
      </c>
      <c r="C38" s="2"/>
      <c r="D38" s="2"/>
      <c r="E38" s="2"/>
      <c r="F38" s="2"/>
      <c r="G38" s="2"/>
    </row>
    <row r="39" spans="1:7" ht="25" customHeight="1">
      <c r="A39" s="1"/>
      <c r="B39" s="2" t="s">
        <v>30</v>
      </c>
      <c r="C39" s="2"/>
      <c r="D39" s="2"/>
      <c r="E39" s="2"/>
      <c r="F39" s="2"/>
      <c r="G39" s="2"/>
    </row>
    <row r="40" spans="1:7" ht="25" customHeight="1">
      <c r="A40" s="1"/>
      <c r="B40" s="2" t="s">
        <v>31</v>
      </c>
      <c r="C40" s="2"/>
      <c r="D40" s="2"/>
      <c r="E40" s="2"/>
      <c r="F40" s="2"/>
      <c r="G40" s="2"/>
    </row>
    <row r="41" spans="1:7" ht="25" customHeight="1">
      <c r="A41" s="1"/>
      <c r="B41" s="2" t="s">
        <v>32</v>
      </c>
      <c r="C41" s="2"/>
      <c r="D41" s="2"/>
      <c r="E41" s="2"/>
      <c r="F41" s="2"/>
      <c r="G41" s="2"/>
    </row>
    <row r="42" spans="1:7" ht="25" customHeight="1">
      <c r="A42" s="1"/>
      <c r="B42" s="2" t="s">
        <v>33</v>
      </c>
      <c r="C42" s="2"/>
      <c r="D42" s="2"/>
      <c r="E42" s="2"/>
      <c r="F42" s="2"/>
      <c r="G42" s="2"/>
    </row>
    <row r="43" spans="1:7" ht="25" customHeight="1">
      <c r="A43" s="1"/>
      <c r="B43" s="2"/>
      <c r="C43" s="2"/>
      <c r="D43" s="2"/>
      <c r="E43" s="2"/>
      <c r="F43" s="2"/>
      <c r="G43" s="2"/>
    </row>
  </sheetData>
  <dataValidations count="2">
    <dataValidation type="decimal" operator="greaterThanOrEqual" sqref="C12:C16" xr:uid="{00000000-0002-0000-0000-000000000000}">
      <formula1>0</formula1>
    </dataValidation>
    <dataValidation type="decimal" sqref="C17:C18 C22:G25" xr:uid="{00000000-0002-0000-0000-000001000000}">
      <formula1>-0.99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2E4F"/>
  </sheetPr>
  <dimension ref="A1:G29"/>
  <sheetViews>
    <sheetView showGridLines="0" workbookViewId="0">
      <pane ySplit="3" topLeftCell="A4" activePane="bottomLeft" state="frozen"/>
      <selection pane="bottomLeft" activeCell="C15" sqref="C15"/>
    </sheetView>
  </sheetViews>
  <sheetFormatPr baseColWidth="10" defaultColWidth="8.83203125" defaultRowHeight="14"/>
  <cols>
    <col min="1" max="1" width="3" customWidth="1"/>
    <col min="2" max="2" width="43" customWidth="1"/>
    <col min="3" max="7" width="18" customWidth="1"/>
  </cols>
  <sheetData>
    <row r="1" spans="1:7" ht="25" customHeight="1">
      <c r="A1" s="1"/>
      <c r="B1" s="1"/>
      <c r="C1" s="1"/>
      <c r="D1" s="1"/>
      <c r="E1" s="1"/>
      <c r="F1" s="1"/>
      <c r="G1" s="1"/>
    </row>
    <row r="2" spans="1:7" ht="25" customHeight="1">
      <c r="A2" s="1"/>
      <c r="B2" s="20" t="s">
        <v>34</v>
      </c>
      <c r="C2" s="2"/>
      <c r="D2" s="2"/>
      <c r="E2" s="2"/>
      <c r="F2" s="2"/>
      <c r="G2" s="2"/>
    </row>
    <row r="3" spans="1:7" ht="25" customHeight="1">
      <c r="A3" s="1"/>
      <c r="B3" s="2"/>
      <c r="C3" s="2"/>
      <c r="D3" s="2"/>
      <c r="E3" s="2"/>
      <c r="F3" s="2"/>
      <c r="G3" s="2"/>
    </row>
    <row r="4" spans="1:7" ht="25" customHeight="1">
      <c r="A4" s="1"/>
      <c r="B4" s="2" t="s">
        <v>35</v>
      </c>
      <c r="C4" s="6">
        <v>1200000</v>
      </c>
      <c r="D4" s="2"/>
      <c r="E4" s="2"/>
      <c r="F4" s="2"/>
      <c r="G4" s="2"/>
    </row>
    <row r="5" spans="1:7" ht="25" customHeight="1">
      <c r="A5" s="1"/>
      <c r="B5" s="2" t="s">
        <v>36</v>
      </c>
      <c r="C5" s="2"/>
      <c r="D5" s="2"/>
      <c r="E5" s="2"/>
      <c r="F5" s="2"/>
      <c r="G5" s="2"/>
    </row>
    <row r="6" spans="1:7" ht="25" customHeight="1">
      <c r="A6" s="1"/>
      <c r="B6" s="2" t="s">
        <v>37</v>
      </c>
      <c r="C6" s="8">
        <v>0.1</v>
      </c>
      <c r="D6" s="2"/>
      <c r="E6" s="2"/>
      <c r="F6" s="2"/>
      <c r="G6" s="2"/>
    </row>
    <row r="7" spans="1:7" ht="25" customHeight="1">
      <c r="A7" s="1"/>
      <c r="B7" s="2" t="s">
        <v>38</v>
      </c>
      <c r="C7" s="24">
        <v>0.02</v>
      </c>
      <c r="D7" s="2"/>
      <c r="E7" s="2"/>
      <c r="F7" s="2"/>
      <c r="G7" s="2"/>
    </row>
    <row r="8" spans="1:7" ht="25" customHeight="1">
      <c r="A8" s="1"/>
      <c r="B8" s="2" t="s">
        <v>39</v>
      </c>
      <c r="C8" s="8">
        <v>0.5</v>
      </c>
      <c r="D8" s="2"/>
      <c r="E8" s="2"/>
      <c r="F8" s="2"/>
      <c r="G8" s="2"/>
    </row>
    <row r="9" spans="1:7" ht="25" customHeight="1">
      <c r="A9" s="1"/>
      <c r="B9" s="2" t="s">
        <v>40</v>
      </c>
      <c r="C9" s="14">
        <v>1</v>
      </c>
      <c r="D9" s="2"/>
      <c r="E9" s="2"/>
      <c r="F9" s="2"/>
      <c r="G9" s="2"/>
    </row>
    <row r="10" spans="1:7" ht="25" customHeight="1">
      <c r="A10" s="1"/>
      <c r="B10" s="2" t="s">
        <v>41</v>
      </c>
      <c r="C10" s="15">
        <f>C6+C7*C8*C9</f>
        <v>0.11</v>
      </c>
      <c r="D10" s="15"/>
      <c r="E10" s="2"/>
      <c r="F10" s="2"/>
      <c r="G10" s="2"/>
    </row>
    <row r="11" spans="1:7" ht="25" customHeight="1">
      <c r="A11" s="1"/>
      <c r="B11" s="2"/>
      <c r="C11" s="2"/>
      <c r="D11" s="2"/>
      <c r="E11" s="2"/>
      <c r="F11" s="2"/>
      <c r="G11" s="2"/>
    </row>
    <row r="12" spans="1:7" ht="29" customHeight="1">
      <c r="A12" s="1"/>
      <c r="B12" s="4" t="s">
        <v>42</v>
      </c>
      <c r="C12" s="4">
        <v>1</v>
      </c>
      <c r="D12" s="4">
        <v>2</v>
      </c>
      <c r="E12" s="4">
        <v>3</v>
      </c>
      <c r="F12" s="4">
        <v>4</v>
      </c>
      <c r="G12" s="4">
        <v>5</v>
      </c>
    </row>
    <row r="13" spans="1:7" ht="25" customHeight="1">
      <c r="A13" s="1"/>
      <c r="B13" s="2" t="s">
        <v>43</v>
      </c>
      <c r="C13" s="3">
        <f>$C$4</f>
        <v>1200000</v>
      </c>
      <c r="D13" s="3">
        <f>C17</f>
        <v>960000</v>
      </c>
      <c r="E13" s="3">
        <f>D17</f>
        <v>720000</v>
      </c>
      <c r="F13" s="3">
        <f>E17</f>
        <v>480000</v>
      </c>
      <c r="G13" s="3">
        <f>F17</f>
        <v>240000</v>
      </c>
    </row>
    <row r="14" spans="1:7" ht="25" customHeight="1">
      <c r="A14" s="1"/>
      <c r="B14" s="2" t="s">
        <v>44</v>
      </c>
      <c r="C14" s="3">
        <f>$C$4/5</f>
        <v>240000</v>
      </c>
      <c r="D14" s="3">
        <f>$C$4/5</f>
        <v>240000</v>
      </c>
      <c r="E14" s="3">
        <f>$C$4/5</f>
        <v>240000</v>
      </c>
      <c r="F14" s="3">
        <f>$C$4/5</f>
        <v>240000</v>
      </c>
      <c r="G14" s="3">
        <f>$C$4/5</f>
        <v>240000</v>
      </c>
    </row>
    <row r="15" spans="1:7" ht="25" customHeight="1">
      <c r="A15" s="1"/>
      <c r="B15" s="2" t="s">
        <v>45</v>
      </c>
      <c r="C15" s="3">
        <f>C13*$C$10</f>
        <v>132000</v>
      </c>
      <c r="D15" s="3">
        <f>D13*$C$10</f>
        <v>105600</v>
      </c>
      <c r="E15" s="3">
        <f>E13*$C$10</f>
        <v>79200</v>
      </c>
      <c r="F15" s="3">
        <f>F13*$C$10</f>
        <v>52800</v>
      </c>
      <c r="G15" s="3">
        <f>G13*$C$10</f>
        <v>26400</v>
      </c>
    </row>
    <row r="16" spans="1:7" ht="25" customHeight="1">
      <c r="A16" s="1"/>
      <c r="B16" s="2" t="s">
        <v>46</v>
      </c>
      <c r="C16" s="3">
        <f>C14+C15</f>
        <v>372000</v>
      </c>
      <c r="D16" s="3">
        <f>D14+D15</f>
        <v>345600</v>
      </c>
      <c r="E16" s="3">
        <f>E14+E15</f>
        <v>319200</v>
      </c>
      <c r="F16" s="3">
        <f>F14+F15</f>
        <v>292800</v>
      </c>
      <c r="G16" s="3">
        <f>G14+G15</f>
        <v>266400</v>
      </c>
    </row>
    <row r="17" spans="1:7" ht="25" customHeight="1">
      <c r="A17" s="1"/>
      <c r="B17" s="2" t="s">
        <v>47</v>
      </c>
      <c r="C17" s="3">
        <f>C13-C14</f>
        <v>960000</v>
      </c>
      <c r="D17" s="3">
        <f>D13-D14</f>
        <v>720000</v>
      </c>
      <c r="E17" s="3">
        <f>E13-E14</f>
        <v>480000</v>
      </c>
      <c r="F17" s="3">
        <f>F13-F14</f>
        <v>240000</v>
      </c>
      <c r="G17" s="3">
        <f>G13-G14</f>
        <v>0</v>
      </c>
    </row>
    <row r="18" spans="1:7" ht="25" customHeight="1">
      <c r="A18" s="1"/>
      <c r="B18" s="2"/>
      <c r="C18" s="3"/>
      <c r="D18" s="3"/>
      <c r="E18" s="3"/>
      <c r="F18" s="3"/>
      <c r="G18" s="3"/>
    </row>
    <row r="19" spans="1:7" ht="25" customHeight="1">
      <c r="A19" s="1"/>
      <c r="B19" s="2" t="s">
        <v>48</v>
      </c>
      <c r="C19" s="17">
        <f>Proyecto!C31</f>
        <v>828000.00000000047</v>
      </c>
      <c r="D19" s="17">
        <f>Proyecto!D31</f>
        <v>854640.00000000093</v>
      </c>
      <c r="E19" s="17">
        <f>Proyecto!E31</f>
        <v>888825.60000000102</v>
      </c>
      <c r="F19" s="17">
        <f>Proyecto!F31</f>
        <v>924378.624000001</v>
      </c>
      <c r="G19" s="17">
        <f>Proyecto!G31</f>
        <v>961353.76896000141</v>
      </c>
    </row>
    <row r="20" spans="1:7" ht="25" customHeight="1">
      <c r="A20" s="1"/>
      <c r="B20" s="2" t="s">
        <v>49</v>
      </c>
      <c r="C20" s="16">
        <f>IF(C16=0,"Sin deuda",C19/C16)</f>
        <v>2.2258064516129044</v>
      </c>
      <c r="D20" s="16">
        <f>IF(D16=0,"Sin deuda",D19/D16)</f>
        <v>2.4729166666666695</v>
      </c>
      <c r="E20" s="16">
        <f>IF(E16=0,"Sin deuda",E19/E16)</f>
        <v>2.784541353383462</v>
      </c>
      <c r="F20" s="16">
        <f>IF(F16=0,"Sin deuda",F19/F16)</f>
        <v>3.1570308196721344</v>
      </c>
      <c r="G20" s="16">
        <f>IF(G16=0,"Sin deuda",G19/G16)</f>
        <v>3.6086853189189241</v>
      </c>
    </row>
    <row r="21" spans="1:7" ht="25" customHeight="1">
      <c r="A21" s="1"/>
      <c r="B21" s="2" t="s">
        <v>50</v>
      </c>
      <c r="C21" s="3">
        <f>C19-C16</f>
        <v>456000.00000000047</v>
      </c>
      <c r="D21" s="3">
        <f>D19-D16</f>
        <v>509040.00000000093</v>
      </c>
      <c r="E21" s="3">
        <f>E19-E16</f>
        <v>569625.60000000102</v>
      </c>
      <c r="F21" s="3">
        <f>F19-F16</f>
        <v>631578.624000001</v>
      </c>
      <c r="G21" s="3">
        <f>G19-G16</f>
        <v>694953.76896000141</v>
      </c>
    </row>
    <row r="22" spans="1:7" ht="25" customHeight="1">
      <c r="A22" s="1"/>
      <c r="B22" s="2"/>
      <c r="C22" s="2"/>
      <c r="D22" s="2"/>
      <c r="E22" s="2"/>
      <c r="F22" s="2"/>
      <c r="G22" s="2"/>
    </row>
    <row r="23" spans="1:7" ht="25" customHeight="1">
      <c r="A23" s="1"/>
      <c r="B23" s="2"/>
      <c r="C23" s="2"/>
      <c r="D23" s="2"/>
      <c r="E23" s="2"/>
      <c r="F23" s="2"/>
      <c r="G23" s="2"/>
    </row>
    <row r="24" spans="1:7" ht="25" customHeight="1">
      <c r="A24" s="1"/>
      <c r="B24" s="2" t="s">
        <v>79</v>
      </c>
      <c r="C24" s="2"/>
      <c r="D24" s="2"/>
      <c r="E24" s="2"/>
      <c r="F24" s="2"/>
      <c r="G24" s="2"/>
    </row>
    <row r="25" spans="1:7" ht="25" customHeight="1">
      <c r="A25" s="1"/>
      <c r="B25" s="2" t="s">
        <v>51</v>
      </c>
      <c r="C25" s="2"/>
      <c r="D25" s="2"/>
      <c r="E25" s="2"/>
      <c r="F25" s="2"/>
      <c r="G25" s="2"/>
    </row>
    <row r="26" spans="1:7" ht="25" customHeight="1">
      <c r="A26" s="1"/>
      <c r="B26" s="2" t="s">
        <v>52</v>
      </c>
      <c r="C26" s="2"/>
      <c r="D26" s="2"/>
      <c r="E26" s="2"/>
      <c r="F26" s="2"/>
      <c r="G26" s="2"/>
    </row>
    <row r="27" spans="1:7" ht="25" customHeight="1">
      <c r="A27" s="1"/>
      <c r="B27" s="2" t="s">
        <v>53</v>
      </c>
      <c r="C27" s="2"/>
      <c r="D27" s="2"/>
      <c r="E27" s="2"/>
      <c r="F27" s="2"/>
      <c r="G27" s="2"/>
    </row>
    <row r="28" spans="1:7" ht="25" customHeight="1">
      <c r="A28" s="1"/>
      <c r="B28" s="2" t="s">
        <v>54</v>
      </c>
      <c r="C28" s="2"/>
      <c r="D28" s="2"/>
      <c r="E28" s="2"/>
      <c r="F28" s="2"/>
      <c r="G28" s="2"/>
    </row>
    <row r="29" spans="1:7" ht="25" customHeight="1">
      <c r="A29" s="1"/>
      <c r="B29" s="2"/>
      <c r="C29" s="2"/>
      <c r="D29" s="2"/>
      <c r="E29" s="2"/>
      <c r="F29" s="2"/>
      <c r="G29" s="2"/>
    </row>
  </sheetData>
  <dataValidations count="3">
    <dataValidation type="list" sqref="C9" xr:uid="{00000000-0002-0000-0100-000000000000}">
      <formula1>"0,1"</formula1>
    </dataValidation>
    <dataValidation type="decimal" operator="greaterThanOrEqual" sqref="C4" xr:uid="{00000000-0002-0000-0100-000001000000}">
      <formula1>0</formula1>
    </dataValidation>
    <dataValidation type="decimal" sqref="C8" xr:uid="{00000000-0002-0000-0100-000002000000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2E4F"/>
  </sheetPr>
  <dimension ref="A1:G35"/>
  <sheetViews>
    <sheetView showGridLines="0" tabSelected="1" workbookViewId="0">
      <pane ySplit="3" topLeftCell="A4" activePane="bottomLeft" state="frozen"/>
      <selection pane="bottomLeft" activeCell="C14" sqref="C14"/>
    </sheetView>
  </sheetViews>
  <sheetFormatPr baseColWidth="10" defaultColWidth="8.83203125" defaultRowHeight="14"/>
  <cols>
    <col min="1" max="1" width="3" customWidth="1"/>
    <col min="2" max="2" width="43" customWidth="1"/>
    <col min="3" max="3" width="22" customWidth="1"/>
    <col min="4" max="5" width="18" customWidth="1"/>
    <col min="6" max="7" width="28" customWidth="1"/>
  </cols>
  <sheetData>
    <row r="1" spans="1:7" ht="25" customHeight="1">
      <c r="A1" s="1"/>
      <c r="B1" s="1"/>
      <c r="C1" s="1"/>
      <c r="D1" s="1"/>
      <c r="E1" s="1"/>
      <c r="F1" s="1"/>
      <c r="G1" s="1"/>
    </row>
    <row r="2" spans="1:7" ht="25" customHeight="1">
      <c r="A2" s="1"/>
      <c r="B2" s="20" t="s">
        <v>55</v>
      </c>
      <c r="C2" s="2"/>
      <c r="D2" s="2"/>
      <c r="E2" s="2"/>
      <c r="F2" s="2"/>
      <c r="G2" s="2"/>
    </row>
    <row r="3" spans="1:7" ht="25" customHeight="1">
      <c r="A3" s="1"/>
      <c r="B3" s="2"/>
      <c r="C3" s="2"/>
      <c r="D3" s="2"/>
      <c r="E3" s="2"/>
      <c r="F3" s="2"/>
      <c r="G3" s="2"/>
    </row>
    <row r="4" spans="1:7" ht="25" customHeight="1">
      <c r="A4" s="1"/>
      <c r="B4" s="2" t="str">
        <v>Trabajo individual: 45 minutos + discusión.</v>
      </c>
      <c r="C4" s="2"/>
      <c r="D4" s="2"/>
      <c r="E4" s="2"/>
      <c r="F4" s="2"/>
      <c r="G4" s="2"/>
    </row>
    <row r="5" spans="1:7" ht="25" customHeight="1">
      <c r="A5" s="1"/>
      <c r="B5" s="2"/>
      <c r="C5" s="2"/>
      <c r="D5" s="2"/>
      <c r="E5" s="2"/>
      <c r="F5" s="2"/>
      <c r="G5" s="2"/>
    </row>
    <row r="6" spans="1:7" ht="29" customHeight="1">
      <c r="A6" s="1"/>
      <c r="B6" s="23" t="s">
        <v>57</v>
      </c>
      <c r="D6" s="2"/>
      <c r="E6" s="2"/>
      <c r="F6" s="2"/>
      <c r="G6" s="2"/>
    </row>
    <row r="7" spans="1:7" ht="25" customHeight="1">
      <c r="A7" s="1"/>
      <c r="B7" s="2" t="s">
        <v>58</v>
      </c>
      <c r="C7" s="2"/>
      <c r="D7" s="2"/>
      <c r="E7" s="2"/>
      <c r="F7" s="2"/>
      <c r="G7" s="2"/>
    </row>
    <row r="8" spans="1:7" ht="25" customHeight="1">
      <c r="A8" s="1"/>
      <c r="B8" s="2"/>
      <c r="C8" s="2"/>
      <c r="D8" s="2"/>
      <c r="E8" s="2"/>
      <c r="F8" s="2"/>
      <c r="G8" s="2"/>
    </row>
    <row r="9" spans="1:7" ht="25" customHeight="1">
      <c r="A9" s="1"/>
      <c r="B9" s="2" t="s">
        <v>59</v>
      </c>
      <c r="C9" s="2"/>
      <c r="D9" s="2"/>
      <c r="E9" s="2"/>
      <c r="F9" s="2"/>
      <c r="G9" s="2"/>
    </row>
    <row r="10" spans="1:7" ht="25" customHeight="1">
      <c r="A10" s="1"/>
      <c r="B10" s="2"/>
      <c r="C10" s="2"/>
      <c r="D10" s="2"/>
      <c r="E10" s="2"/>
      <c r="F10" s="2"/>
      <c r="G10" s="2"/>
    </row>
    <row r="11" spans="1:7" ht="25" customHeight="1">
      <c r="A11" s="1"/>
      <c r="B11" s="2" t="s">
        <v>60</v>
      </c>
      <c r="C11" s="2"/>
      <c r="D11" s="2"/>
      <c r="E11" s="2"/>
      <c r="F11" s="2"/>
      <c r="G11" s="2"/>
    </row>
    <row r="12" spans="1:7" ht="25" customHeight="1">
      <c r="A12" s="1"/>
      <c r="B12" s="2"/>
      <c r="C12" s="2"/>
      <c r="D12" s="2"/>
      <c r="E12" s="2"/>
      <c r="F12" s="2"/>
      <c r="G12" s="2"/>
    </row>
    <row r="13" spans="1:7" ht="29" customHeight="1">
      <c r="A13" s="1"/>
      <c r="B13" s="4" t="str">
        <v>Registro individual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7" ht="25" customHeight="1">
      <c r="A14" s="1"/>
      <c r="B14" s="2" t="s">
        <v>67</v>
      </c>
      <c r="C14" s="18"/>
      <c r="D14" s="19"/>
      <c r="E14" s="18"/>
      <c r="F14" s="5"/>
      <c r="G14" s="5"/>
    </row>
    <row r="15" spans="1:7" ht="25" customHeight="1">
      <c r="A15" s="1"/>
      <c r="B15" s="2" t="s">
        <v>68</v>
      </c>
      <c r="C15" s="18"/>
      <c r="D15" s="19"/>
      <c r="E15" s="18"/>
      <c r="F15" s="5"/>
      <c r="G15" s="5"/>
    </row>
    <row r="16" spans="1:7" ht="25" customHeight="1">
      <c r="A16" s="1"/>
      <c r="B16" s="2" t="s">
        <v>69</v>
      </c>
      <c r="C16" s="18"/>
      <c r="D16" s="19"/>
      <c r="E16" s="18"/>
      <c r="F16" s="5"/>
      <c r="G16" s="5"/>
    </row>
    <row r="17" spans="1:7" ht="25" customHeight="1">
      <c r="A17" s="1"/>
      <c r="B17" s="2" t="s">
        <v>70</v>
      </c>
      <c r="C17" s="18"/>
      <c r="D17" s="19"/>
      <c r="E17" s="18"/>
      <c r="F17" s="5"/>
      <c r="G17" s="5"/>
    </row>
    <row r="18" spans="1:7" ht="25" customHeight="1">
      <c r="A18" s="1"/>
      <c r="B18" s="2"/>
      <c r="C18" s="2"/>
      <c r="D18" s="2"/>
      <c r="E18" s="2"/>
      <c r="F18" s="2"/>
      <c r="G18" s="2"/>
    </row>
    <row r="19" spans="1:7" ht="25" customHeight="1">
      <c r="A19" s="1"/>
      <c r="B19" s="2"/>
      <c r="C19" s="2"/>
      <c r="D19" s="2"/>
      <c r="E19" s="2"/>
      <c r="F19" s="2"/>
      <c r="G19" s="2"/>
    </row>
    <row r="20" spans="1:7" ht="25" customHeight="1">
      <c r="A20" s="1"/>
      <c r="B20" s="2" t="s">
        <v>67</v>
      </c>
      <c r="C20" s="2"/>
      <c r="D20" s="2"/>
      <c r="E20" s="2"/>
      <c r="F20" s="2"/>
      <c r="G20" s="2"/>
    </row>
    <row r="21" spans="1:7" ht="25" customHeight="1">
      <c r="A21" s="1"/>
      <c r="B21" s="2" t="s">
        <v>71</v>
      </c>
      <c r="C21" s="2"/>
      <c r="D21" s="2"/>
      <c r="E21" s="2"/>
      <c r="F21" s="2"/>
      <c r="G21" s="2"/>
    </row>
    <row r="22" spans="1:7" ht="25" customHeight="1">
      <c r="A22" s="1"/>
      <c r="B22" s="2" t="s">
        <v>68</v>
      </c>
      <c r="C22" s="2"/>
      <c r="D22" s="2"/>
      <c r="E22" s="2"/>
      <c r="F22" s="2"/>
      <c r="G22" s="2"/>
    </row>
    <row r="23" spans="1:7" ht="25" customHeight="1">
      <c r="A23" s="1"/>
      <c r="B23" s="2" t="s">
        <v>72</v>
      </c>
      <c r="C23" s="2"/>
      <c r="D23" s="2"/>
      <c r="E23" s="2"/>
      <c r="F23" s="2"/>
      <c r="G23" s="2"/>
    </row>
    <row r="24" spans="1:7" ht="25" customHeight="1">
      <c r="A24" s="1"/>
      <c r="B24" s="2" t="s">
        <v>69</v>
      </c>
      <c r="C24" s="2"/>
      <c r="D24" s="2"/>
      <c r="E24" s="2"/>
      <c r="F24" s="2"/>
      <c r="G24" s="2"/>
    </row>
    <row r="25" spans="1:7" ht="25" customHeight="1">
      <c r="A25" s="1"/>
      <c r="B25" s="2" t="s">
        <v>73</v>
      </c>
      <c r="C25" s="2"/>
      <c r="D25" s="2"/>
      <c r="E25" s="2"/>
      <c r="F25" s="2"/>
      <c r="G25" s="2"/>
    </row>
    <row r="26" spans="1:7" ht="25" customHeight="1">
      <c r="A26" s="1"/>
      <c r="B26" s="2" t="s">
        <v>70</v>
      </c>
      <c r="C26" s="2"/>
      <c r="D26" s="2"/>
      <c r="E26" s="2"/>
      <c r="F26" s="2"/>
      <c r="G26" s="2"/>
    </row>
    <row r="27" spans="1:7" ht="25" customHeight="1">
      <c r="A27" s="1"/>
      <c r="B27" s="2" t="s">
        <v>74</v>
      </c>
      <c r="C27" s="2"/>
      <c r="D27" s="2"/>
      <c r="E27" s="2"/>
      <c r="F27" s="2"/>
      <c r="G27" s="2"/>
    </row>
    <row r="28" spans="1:7" ht="25" customHeight="1">
      <c r="A28" s="1"/>
      <c r="B28" s="2"/>
      <c r="C28" s="2"/>
      <c r="D28" s="2"/>
      <c r="E28" s="2"/>
      <c r="F28" s="2"/>
      <c r="G28" s="2"/>
    </row>
    <row r="29" spans="1:7" ht="25" customHeight="1">
      <c r="A29" s="1"/>
      <c r="B29" s="2" t="s">
        <v>75</v>
      </c>
      <c r="C29" s="2"/>
      <c r="D29" s="2"/>
      <c r="E29" s="2"/>
      <c r="F29" s="2"/>
      <c r="G29" s="2"/>
    </row>
    <row r="30" spans="1:7" ht="25" customHeight="1">
      <c r="A30" s="1"/>
      <c r="B30" s="2"/>
      <c r="C30" s="2"/>
      <c r="D30" s="2"/>
      <c r="E30" s="2"/>
      <c r="F30" s="2"/>
      <c r="G30" s="2"/>
    </row>
    <row r="31" spans="1:7" ht="25" customHeight="1">
      <c r="A31" s="1"/>
      <c r="B31" s="2" t="s">
        <v>76</v>
      </c>
      <c r="C31" s="2"/>
      <c r="D31" s="2"/>
      <c r="E31" s="2"/>
      <c r="F31" s="2"/>
      <c r="G31" s="2"/>
    </row>
    <row r="32" spans="1:7" ht="25" customHeight="1">
      <c r="A32" s="1"/>
      <c r="B32" s="2"/>
      <c r="C32" s="2"/>
      <c r="D32" s="2"/>
      <c r="E32" s="2"/>
      <c r="F32" s="2"/>
      <c r="G32" s="2"/>
    </row>
    <row r="33" spans="1:7" ht="25" customHeight="1">
      <c r="A33" s="1"/>
      <c r="B33" s="2" t="s">
        <v>77</v>
      </c>
      <c r="C33" s="2"/>
      <c r="D33" s="2"/>
      <c r="E33" s="2"/>
      <c r="F33" s="2"/>
      <c r="G33" s="2"/>
    </row>
    <row r="34" spans="1:7" ht="25" customHeight="1">
      <c r="A34" s="1"/>
      <c r="B34" s="2" t="s">
        <v>78</v>
      </c>
      <c r="C34" s="2"/>
      <c r="D34" s="2"/>
      <c r="E34" s="2"/>
      <c r="F34" s="2"/>
      <c r="G34" s="2"/>
    </row>
    <row r="35" spans="1:7" ht="25" customHeight="1">
      <c r="A35" s="1"/>
      <c r="B35" s="2"/>
      <c r="C35" s="2"/>
      <c r="D35" s="2"/>
      <c r="E35" s="2"/>
      <c r="F35" s="2"/>
      <c r="G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</vt:lpstr>
      <vt:lpstr>Credito</vt:lpstr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AUGUSTO GARRIDO GRIJALVA</cp:lastModifiedBy>
  <dcterms:modified xsi:type="dcterms:W3CDTF">2026-10-17T00:54:18Z</dcterms:modified>
</cp:coreProperties>
</file>