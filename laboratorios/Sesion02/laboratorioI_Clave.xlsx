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paulogarridogrijalva/Documents/Docencia/2026/III/Macroeconomía/macroeconomia-200fp/laboratorios/sesion02/"/>
    </mc:Choice>
  </mc:AlternateContent>
  <xr:revisionPtr revIDLastSave="0" documentId="13_ncr:1_{33732E3F-540D-2946-87EE-8122584F82B6}" xr6:coauthVersionLast="47" xr6:coauthVersionMax="47" xr10:uidLastSave="{00000000-0000-0000-0000-000000000000}"/>
  <bookViews>
    <workbookView xWindow="0" yWindow="660" windowWidth="30240" windowHeight="18980" activeTab="5" xr2:uid="{00000000-000D-0000-FFFF-FFFF00000000}"/>
  </bookViews>
  <sheets>
    <sheet name="Inicio" sheetId="1" r:id="rId1"/>
    <sheet name="Etapa1_Datos" sheetId="2" r:id="rId2"/>
    <sheet name="Etapa2_Evolucion" sheetId="3" r:id="rId3"/>
    <sheet name="Etapa3_Mercado" sheetId="4" r:id="rId4"/>
    <sheet name="Etapa4_Demanda" sheetId="5" r:id="rId5"/>
    <sheet name="Etapa5_Capacidad" sheetId="6" r:id="rId6"/>
    <sheet name="Etapa6_Informe" sheetId="7" r:id="rId7"/>
  </sheets>
  <externalReferences>
    <externalReference r:id="rId8"/>
  </externalReferenc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8" i="2" l="1"/>
  <c r="Q28" i="2" s="1"/>
  <c r="B6" i="2"/>
  <c r="H28" i="7"/>
  <c r="D12" i="7"/>
  <c r="C10" i="6"/>
  <c r="C9" i="6"/>
  <c r="C8" i="6"/>
  <c r="B15" i="5"/>
  <c r="B10" i="5"/>
  <c r="B9" i="5"/>
  <c r="B8" i="5"/>
  <c r="C17" i="3"/>
  <c r="C13" i="3"/>
  <c r="C12" i="3"/>
  <c r="C11" i="3"/>
  <c r="C10" i="3"/>
  <c r="F12" i="2" l="1"/>
  <c r="F11" i="2"/>
  <c r="F9" i="2"/>
  <c r="F8" i="2"/>
  <c r="F14" i="2"/>
  <c r="F13" i="2"/>
  <c r="E12" i="2"/>
  <c r="B18" i="3" s="1"/>
  <c r="C18" i="3" s="1"/>
  <c r="E11" i="2"/>
  <c r="E9" i="2"/>
  <c r="E8" i="2"/>
  <c r="E14" i="2"/>
  <c r="E13" i="2"/>
  <c r="D9" i="2"/>
  <c r="C9" i="2"/>
  <c r="C8" i="2"/>
  <c r="B9" i="2"/>
  <c r="C11" i="2"/>
  <c r="C13" i="2"/>
  <c r="D8" i="2"/>
  <c r="D11" i="2"/>
  <c r="D13" i="2"/>
  <c r="B8" i="2"/>
  <c r="B11" i="2"/>
  <c r="C12" i="2"/>
  <c r="B14" i="3" s="1"/>
  <c r="B13" i="2"/>
  <c r="C14" i="2"/>
  <c r="D12" i="2"/>
  <c r="B15" i="3" s="1"/>
  <c r="D14" i="2"/>
  <c r="B12" i="2"/>
  <c r="B14" i="2"/>
  <c r="F15" i="2" l="1"/>
  <c r="B20" i="2" s="1"/>
  <c r="E15" i="2"/>
  <c r="D15" i="2"/>
  <c r="C15" i="2"/>
  <c r="B15" i="2"/>
  <c r="B19" i="3"/>
  <c r="B17" i="4"/>
  <c r="C14" i="3"/>
  <c r="B23" i="3"/>
  <c r="B24" i="3"/>
  <c r="C15" i="3"/>
  <c r="C16" i="3"/>
  <c r="B8" i="3"/>
  <c r="C9" i="3" s="1"/>
  <c r="F10" i="2" l="1"/>
  <c r="B19" i="2" s="1"/>
  <c r="B21" i="2" s="1"/>
  <c r="E21" i="2" s="1"/>
  <c r="E10" i="2"/>
  <c r="C10" i="2"/>
  <c r="B10" i="2"/>
  <c r="D10" i="2"/>
  <c r="B25" i="3"/>
  <c r="C19" i="3"/>
  <c r="B18" i="4"/>
  <c r="D7" i="7"/>
  <c r="F9" i="4"/>
  <c r="B26" i="3"/>
  <c r="B19" i="4" l="1"/>
  <c r="C8" i="5" s="1"/>
  <c r="F13" i="4"/>
  <c r="D8" i="7" l="1"/>
  <c r="C9" i="5"/>
  <c r="D9" i="5" s="1"/>
  <c r="C10" i="5"/>
  <c r="D10" i="5" s="1"/>
  <c r="F17" i="4"/>
  <c r="D8" i="5"/>
  <c r="B14" i="5"/>
  <c r="D10" i="7" l="1"/>
  <c r="B9" i="6"/>
  <c r="D9" i="6" s="1"/>
  <c r="D11" i="7"/>
  <c r="B10" i="6"/>
  <c r="D10" i="6" s="1"/>
  <c r="B8" i="6"/>
  <c r="D8" i="6" s="1"/>
  <c r="D9" i="7"/>
  <c r="E9" i="6" l="1"/>
  <c r="F9" i="6"/>
  <c r="E10" i="6"/>
  <c r="F10" i="6"/>
  <c r="E8" i="6"/>
  <c r="F8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Macroeconomía 200 FP</author>
  </authors>
  <commentList>
    <comment ref="B8" authorId="0" shapeId="0" xr:uid="{00000000-0006-0000-0100-000001000000}">
      <text>
        <r>
          <rPr>
            <sz val="11"/>
            <color rgb="FF000000"/>
            <rFont val="Calibri"/>
            <family val="2"/>
          </rPr>
          <t>Celda de entrada: complete con información del Banco de Guatemala o con el dato solicitado.</t>
        </r>
      </text>
    </comment>
    <comment ref="C8" authorId="0" shapeId="0" xr:uid="{A2E932DD-5639-CB4F-BB92-54331570425B}">
      <text>
        <r>
          <rPr>
            <sz val="11"/>
            <color theme="1"/>
            <rFont val="Calibri"/>
            <family val="2"/>
            <scheme val="minor"/>
          </rPr>
          <t>Celda de entrada: complete con información del Banco de Guatemala o con el dato solicitado.</t>
        </r>
      </text>
    </comment>
    <comment ref="D8" authorId="0" shapeId="0" xr:uid="{6E9DF16A-17DC-3C40-B831-AD81A4E9C6DA}">
      <text>
        <r>
          <rPr>
            <sz val="11"/>
            <color theme="1"/>
            <rFont val="Calibri"/>
            <family val="2"/>
            <scheme val="minor"/>
          </rPr>
          <t>Celda de entrada: complete con información del Banco de Guatemala o con el dato solicitado.</t>
        </r>
      </text>
    </comment>
    <comment ref="E8" authorId="0" shapeId="0" xr:uid="{4D0E30C6-977E-7F48-AFFD-03D951F7B129}">
      <text>
        <r>
          <rPr>
            <sz val="11"/>
            <color theme="1"/>
            <rFont val="Calibri"/>
            <family val="2"/>
            <scheme val="minor"/>
          </rPr>
          <t>Celda de entrada: complete con información del Banco de Guatemala o con el dato solicitado.</t>
        </r>
      </text>
    </comment>
    <comment ref="F8" authorId="0" shapeId="0" xr:uid="{71A5EF28-ED2A-154A-9964-548120D9CA16}">
      <text>
        <r>
          <rPr>
            <sz val="11"/>
            <color theme="1"/>
            <rFont val="Calibri"/>
            <family val="2"/>
            <scheme val="minor"/>
          </rPr>
          <t>Celda de entrada: complete con información del Banco de Guatemala o con el dato solicitado.</t>
        </r>
      </text>
    </comment>
    <comment ref="B9" authorId="0" shapeId="0" xr:uid="{4D810445-2DD3-5043-91C4-642B6E1644CD}">
      <text>
        <r>
          <rPr>
            <sz val="11"/>
            <color theme="1"/>
            <rFont val="Calibri"/>
            <family val="2"/>
            <scheme val="minor"/>
          </rPr>
          <t>Celda de entrada: complete con información del Banco de Guatemala o con el dato solicitado.</t>
        </r>
      </text>
    </comment>
    <comment ref="C9" authorId="0" shapeId="0" xr:uid="{971253D5-8859-2546-BDE1-DD753CA026B2}">
      <text>
        <r>
          <rPr>
            <sz val="11"/>
            <color theme="1"/>
            <rFont val="Calibri"/>
            <family val="2"/>
            <scheme val="minor"/>
          </rPr>
          <t>Celda de entrada: complete con información del Banco de Guatemala o con el dato solicitado.</t>
        </r>
      </text>
    </comment>
    <comment ref="D9" authorId="0" shapeId="0" xr:uid="{8B5637A1-2818-FE4B-B6C7-E81A0357F2B9}">
      <text>
        <r>
          <rPr>
            <sz val="11"/>
            <color theme="1"/>
            <rFont val="Calibri"/>
            <family val="2"/>
            <scheme val="minor"/>
          </rPr>
          <t>Celda de entrada: complete con información del Banco de Guatemala o con el dato solicitado.</t>
        </r>
      </text>
    </comment>
    <comment ref="E9" authorId="0" shapeId="0" xr:uid="{5F1AC02E-1DD8-5849-8DB4-8D67923F13C6}">
      <text>
        <r>
          <rPr>
            <sz val="11"/>
            <color theme="1"/>
            <rFont val="Calibri"/>
            <family val="2"/>
            <scheme val="minor"/>
          </rPr>
          <t>Celda de entrada: complete con información del Banco de Guatemala o con el dato solicitado.</t>
        </r>
      </text>
    </comment>
    <comment ref="F9" authorId="0" shapeId="0" xr:uid="{A4A2ED0B-BD61-6645-BACD-B9FCC77BA931}">
      <text>
        <r>
          <rPr>
            <sz val="11"/>
            <color theme="1"/>
            <rFont val="Calibri"/>
            <family val="2"/>
            <scheme val="minor"/>
          </rPr>
          <t>Celda de entrada: complete con información del Banco de Guatemala o con el dato solicitado.</t>
        </r>
      </text>
    </comment>
    <comment ref="B10" authorId="0" shapeId="0" xr:uid="{9AE8BF03-9838-124C-9532-405CBA11B222}">
      <text>
        <r>
          <rPr>
            <sz val="11"/>
            <color theme="1"/>
            <rFont val="Calibri"/>
            <family val="2"/>
            <scheme val="minor"/>
          </rPr>
          <t>Celda de entrada: complete con información del Banco de Guatemala o con el dato solicitado.</t>
        </r>
      </text>
    </comment>
    <comment ref="C10" authorId="0" shapeId="0" xr:uid="{2450FCFA-D52B-2B4E-92BC-7892BF574A8B}">
      <text>
        <r>
          <rPr>
            <sz val="11"/>
            <color theme="1"/>
            <rFont val="Calibri"/>
            <family val="2"/>
            <scheme val="minor"/>
          </rPr>
          <t>Celda de entrada: complete con información del Banco de Guatemala o con el dato solicitado.</t>
        </r>
      </text>
    </comment>
    <comment ref="D10" authorId="0" shapeId="0" xr:uid="{5C3106EA-9DD0-9D49-8C5C-1E151B4FDF56}">
      <text>
        <r>
          <rPr>
            <sz val="11"/>
            <color theme="1"/>
            <rFont val="Calibri"/>
            <family val="2"/>
            <scheme val="minor"/>
          </rPr>
          <t>Celda de entrada: complete con información del Banco de Guatemala o con el dato solicitado.</t>
        </r>
      </text>
    </comment>
    <comment ref="E10" authorId="0" shapeId="0" xr:uid="{B9FF0A5D-8782-6841-8868-3EA1CE44A06E}">
      <text>
        <r>
          <rPr>
            <sz val="11"/>
            <color theme="1"/>
            <rFont val="Calibri"/>
            <family val="2"/>
            <scheme val="minor"/>
          </rPr>
          <t>Celda de entrada: complete con información del Banco de Guatemala o con el dato solicitado.</t>
        </r>
      </text>
    </comment>
    <comment ref="F10" authorId="0" shapeId="0" xr:uid="{F880F944-E023-424B-BA3C-199CDF2DABA6}">
      <text>
        <r>
          <rPr>
            <sz val="11"/>
            <color theme="1"/>
            <rFont val="Calibri"/>
            <family val="2"/>
            <scheme val="minor"/>
          </rPr>
          <t>Celda de entrada: complete con información del Banco de Guatemala o con el dato solicitado.</t>
        </r>
      </text>
    </comment>
    <comment ref="B11" authorId="0" shapeId="0" xr:uid="{B2A08A99-C514-E542-8C59-E843D5D9A6B5}">
      <text>
        <r>
          <rPr>
            <sz val="11"/>
            <color theme="1"/>
            <rFont val="Calibri"/>
            <family val="2"/>
            <scheme val="minor"/>
          </rPr>
          <t>Celda de entrada: complete con información del Banco de Guatemala o con el dato solicitado.</t>
        </r>
      </text>
    </comment>
    <comment ref="C11" authorId="0" shapeId="0" xr:uid="{66ABC5B8-6C64-6A44-8CFB-1DAF1A10A0A1}">
      <text>
        <r>
          <rPr>
            <sz val="11"/>
            <color theme="1"/>
            <rFont val="Calibri"/>
            <family val="2"/>
            <scheme val="minor"/>
          </rPr>
          <t>Celda de entrada: complete con información del Banco de Guatemala o con el dato solicitado.</t>
        </r>
      </text>
    </comment>
    <comment ref="D11" authorId="0" shapeId="0" xr:uid="{C2B2964A-D483-B948-984A-65EECF5943B1}">
      <text>
        <r>
          <rPr>
            <sz val="11"/>
            <color theme="1"/>
            <rFont val="Calibri"/>
            <family val="2"/>
            <scheme val="minor"/>
          </rPr>
          <t>Celda de entrada: complete con información del Banco de Guatemala o con el dato solicitado.</t>
        </r>
      </text>
    </comment>
    <comment ref="E11" authorId="0" shapeId="0" xr:uid="{0207C199-AC90-7E46-A484-2FD715D81E48}">
      <text>
        <r>
          <rPr>
            <sz val="11"/>
            <color theme="1"/>
            <rFont val="Calibri"/>
            <family val="2"/>
            <scheme val="minor"/>
          </rPr>
          <t>Celda de entrada: complete con información del Banco de Guatemala o con el dato solicitado.</t>
        </r>
      </text>
    </comment>
    <comment ref="F11" authorId="0" shapeId="0" xr:uid="{428FA2EB-DAAA-F84A-A3D5-6CE96755E644}">
      <text>
        <r>
          <rPr>
            <sz val="11"/>
            <color theme="1"/>
            <rFont val="Calibri"/>
            <family val="2"/>
            <scheme val="minor"/>
          </rPr>
          <t>Celda de entrada: complete con información del Banco de Guatemala o con el dato solicitado.</t>
        </r>
      </text>
    </comment>
    <comment ref="B12" authorId="0" shapeId="0" xr:uid="{C9E60F95-A098-454B-B08C-1B5D86265FE7}">
      <text>
        <r>
          <rPr>
            <sz val="11"/>
            <color theme="1"/>
            <rFont val="Calibri"/>
            <family val="2"/>
            <scheme val="minor"/>
          </rPr>
          <t>Celda de entrada: complete con información del Banco de Guatemala o con el dato solicitado.</t>
        </r>
      </text>
    </comment>
    <comment ref="C12" authorId="0" shapeId="0" xr:uid="{A9DB7623-E700-834C-BD6B-E5BD107FAAD7}">
      <text>
        <r>
          <rPr>
            <sz val="11"/>
            <color theme="1"/>
            <rFont val="Calibri"/>
            <family val="2"/>
            <scheme val="minor"/>
          </rPr>
          <t>Celda de entrada: complete con información del Banco de Guatemala o con el dato solicitado.</t>
        </r>
      </text>
    </comment>
    <comment ref="D12" authorId="0" shapeId="0" xr:uid="{B4A1CE09-44CE-3F40-A68B-C486F232CC53}">
      <text>
        <r>
          <rPr>
            <sz val="11"/>
            <color theme="1"/>
            <rFont val="Calibri"/>
            <family val="2"/>
            <scheme val="minor"/>
          </rPr>
          <t>Celda de entrada: complete con información del Banco de Guatemala o con el dato solicitado.</t>
        </r>
      </text>
    </comment>
    <comment ref="E12" authorId="0" shapeId="0" xr:uid="{C9E3B9FA-88A5-E143-AD9C-E9C765013303}">
      <text>
        <r>
          <rPr>
            <sz val="11"/>
            <color theme="1"/>
            <rFont val="Calibri"/>
            <family val="2"/>
            <scheme val="minor"/>
          </rPr>
          <t>Celda de entrada: complete con información del Banco de Guatemala o con el dato solicitado.</t>
        </r>
      </text>
    </comment>
    <comment ref="F12" authorId="0" shapeId="0" xr:uid="{063ABC00-7D3A-5946-ADD9-B67ADA90ADA2}">
      <text>
        <r>
          <rPr>
            <sz val="11"/>
            <color theme="1"/>
            <rFont val="Calibri"/>
            <family val="2"/>
            <scheme val="minor"/>
          </rPr>
          <t>Celda de entrada: complete con información del Banco de Guatemala o con el dato solicitado.</t>
        </r>
      </text>
    </comment>
    <comment ref="B13" authorId="0" shapeId="0" xr:uid="{7FA3FD9F-8BBF-B54A-9A04-BF927C79B6EB}">
      <text>
        <r>
          <rPr>
            <sz val="11"/>
            <color theme="1"/>
            <rFont val="Calibri"/>
            <family val="2"/>
            <scheme val="minor"/>
          </rPr>
          <t>Celda de entrada: complete con información del Banco de Guatemala o con el dato solicitado.</t>
        </r>
      </text>
    </comment>
    <comment ref="C13" authorId="0" shapeId="0" xr:uid="{A6845160-6CCB-EE46-9AE9-1DFE5B9FDCE8}">
      <text>
        <r>
          <rPr>
            <sz val="11"/>
            <color theme="1"/>
            <rFont val="Calibri"/>
            <family val="2"/>
            <scheme val="minor"/>
          </rPr>
          <t>Celda de entrada: complete con información del Banco de Guatemala o con el dato solicitado.</t>
        </r>
      </text>
    </comment>
    <comment ref="D13" authorId="0" shapeId="0" xr:uid="{0C70CA7D-03A5-A544-B5D2-A4961EDDAFE0}">
      <text>
        <r>
          <rPr>
            <sz val="11"/>
            <color theme="1"/>
            <rFont val="Calibri"/>
            <family val="2"/>
            <scheme val="minor"/>
          </rPr>
          <t>Celda de entrada: complete con información del Banco de Guatemala o con el dato solicitado.</t>
        </r>
      </text>
    </comment>
    <comment ref="E13" authorId="0" shapeId="0" xr:uid="{6E2782EA-96A3-E14F-97B1-D03B576D8C9D}">
      <text>
        <r>
          <rPr>
            <sz val="11"/>
            <color theme="1"/>
            <rFont val="Calibri"/>
            <family val="2"/>
            <scheme val="minor"/>
          </rPr>
          <t>Celda de entrada: complete con información del Banco de Guatemala o con el dato solicitado.</t>
        </r>
      </text>
    </comment>
    <comment ref="F13" authorId="0" shapeId="0" xr:uid="{7A655103-C209-2F42-A253-4F878A16E629}">
      <text>
        <r>
          <rPr>
            <sz val="11"/>
            <color theme="1"/>
            <rFont val="Calibri"/>
            <family val="2"/>
            <scheme val="minor"/>
          </rPr>
          <t>Celda de entrada: complete con información del Banco de Guatemala o con el dato solicitado.</t>
        </r>
      </text>
    </comment>
    <comment ref="B14" authorId="0" shapeId="0" xr:uid="{58443458-B4B8-9044-B450-C6DA3E3E868C}">
      <text>
        <r>
          <rPr>
            <sz val="11"/>
            <color theme="1"/>
            <rFont val="Calibri"/>
            <family val="2"/>
            <scheme val="minor"/>
          </rPr>
          <t>Celda de entrada: complete con información del Banco de Guatemala o con el dato solicitado.</t>
        </r>
      </text>
    </comment>
    <comment ref="C14" authorId="0" shapeId="0" xr:uid="{9CD721BD-4CCC-2846-A4DE-0E6497C85CAE}">
      <text>
        <r>
          <rPr>
            <sz val="11"/>
            <color theme="1"/>
            <rFont val="Calibri"/>
            <family val="2"/>
            <scheme val="minor"/>
          </rPr>
          <t>Celda de entrada: complete con información del Banco de Guatemala o con el dato solicitado.</t>
        </r>
      </text>
    </comment>
    <comment ref="D14" authorId="0" shapeId="0" xr:uid="{418C212A-DD0A-074D-BB68-0E1423677F5C}">
      <text>
        <r>
          <rPr>
            <sz val="11"/>
            <color rgb="FF000000"/>
            <rFont val="Calibri"/>
            <family val="2"/>
          </rPr>
          <t>Celda de entrada: complete con información del Banco de Guatemala o con el dato solicitado.</t>
        </r>
      </text>
    </comment>
    <comment ref="E14" authorId="0" shapeId="0" xr:uid="{5084788B-8C50-094F-99EB-7594EFC01AE8}">
      <text>
        <r>
          <rPr>
            <sz val="11"/>
            <color theme="1"/>
            <rFont val="Calibri"/>
            <family val="2"/>
            <scheme val="minor"/>
          </rPr>
          <t>Celda de entrada: complete con información del Banco de Guatemala o con el dato solicitado.</t>
        </r>
      </text>
    </comment>
    <comment ref="F14" authorId="0" shapeId="0" xr:uid="{888DFC4C-B44C-A54A-B6C6-46FD33F979E7}">
      <text>
        <r>
          <rPr>
            <sz val="11"/>
            <color theme="1"/>
            <rFont val="Calibri"/>
            <family val="2"/>
            <scheme val="minor"/>
          </rPr>
          <t>Celda de entrada: complete con información del Banco de Guatemala o con el dato solicitado.</t>
        </r>
      </text>
    </comment>
    <comment ref="B15" authorId="0" shapeId="0" xr:uid="{A404E17B-E7D6-C948-9813-52B09FF0FC92}">
      <text>
        <r>
          <rPr>
            <sz val="11"/>
            <color theme="1"/>
            <rFont val="Calibri"/>
            <family val="2"/>
            <scheme val="minor"/>
          </rPr>
          <t>Celda de entrada: complete con información del Banco de Guatemala o con el dato solicitado.</t>
        </r>
      </text>
    </comment>
    <comment ref="C15" authorId="0" shapeId="0" xr:uid="{202D47A0-A323-F54F-9899-1687C0D57F8F}">
      <text>
        <r>
          <rPr>
            <sz val="11"/>
            <color theme="1"/>
            <rFont val="Calibri"/>
            <family val="2"/>
            <scheme val="minor"/>
          </rPr>
          <t>Celda de entrada: complete con información del Banco de Guatemala o con el dato solicitado.</t>
        </r>
      </text>
    </comment>
    <comment ref="D15" authorId="0" shapeId="0" xr:uid="{C4216208-0D9D-3245-96C6-EBB1BA519E63}">
      <text>
        <r>
          <rPr>
            <sz val="11"/>
            <color theme="1"/>
            <rFont val="Calibri"/>
            <family val="2"/>
            <scheme val="minor"/>
          </rPr>
          <t>Celda de entrada: complete con información del Banco de Guatemala o con el dato solicitado.</t>
        </r>
      </text>
    </comment>
    <comment ref="E15" authorId="0" shapeId="0" xr:uid="{D03BEEE0-657B-1341-A130-0B056C6269C9}">
      <text>
        <r>
          <rPr>
            <sz val="11"/>
            <color theme="1"/>
            <rFont val="Calibri"/>
            <family val="2"/>
            <scheme val="minor"/>
          </rPr>
          <t>Celda de entrada: complete con información del Banco de Guatemala o con el dato solicitado.</t>
        </r>
      </text>
    </comment>
    <comment ref="F15" authorId="0" shapeId="0" xr:uid="{4A72650A-D2EE-D446-B4CD-DF36BB1FBAC6}">
      <text>
        <r>
          <rPr>
            <sz val="11"/>
            <color theme="1"/>
            <rFont val="Calibri"/>
            <family val="2"/>
            <scheme val="minor"/>
          </rPr>
          <t>Celda de entrada: complete con información del Banco de Guatemala o con el dato solicitado.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Macroeconomía 200 FP</author>
  </authors>
  <commentList>
    <comment ref="B8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Valor vinculado desde la Etapa 1.</t>
        </r>
      </text>
    </comment>
    <comment ref="B9" authorId="0" shapeId="0" xr:uid="{00000000-0006-0000-0200-000002000000}">
      <text>
        <r>
          <rPr>
            <sz val="11"/>
            <color rgb="FF000000"/>
            <rFont val="Calibri"/>
            <family val="2"/>
          </rPr>
          <t>Celda de entrada: complete con información del Banco de Guatemala o con el dato solicitado.</t>
        </r>
      </text>
    </comment>
    <comment ref="B10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Celda de entrada: complete con información del Banco de Guatemala o con el dato solicitado.</t>
        </r>
      </text>
    </comment>
    <comment ref="B11" authorId="0" shapeId="0" xr:uid="{00000000-0006-0000-0200-000004000000}">
      <text>
        <r>
          <rPr>
            <sz val="11"/>
            <color rgb="FF000000"/>
            <rFont val="Calibri"/>
            <family val="2"/>
          </rPr>
          <t>Celda de entrada: complete con información del Banco de Guatemala o con el dato solicitado.</t>
        </r>
      </text>
    </comment>
    <comment ref="B12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Celda de entrada: complete con información del Banco de Guatemala o con el dato solicitado.</t>
        </r>
      </text>
    </comment>
    <comment ref="B13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Celda de entrada: complete con información del Banco de Guatemala o con el dato solicitado.</t>
        </r>
      </text>
    </comment>
    <comment ref="B14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Valor vinculado desde la Etapa 1.</t>
        </r>
      </text>
    </comment>
    <comment ref="B15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Valor vinculado desde la Etapa 1.</t>
        </r>
      </text>
    </comment>
    <comment ref="B16" authorId="0" shapeId="0" xr:uid="{00000000-0006-0000-0200-000009000000}">
      <text>
        <r>
          <rPr>
            <sz val="11"/>
            <color rgb="FF000000"/>
            <rFont val="Calibri"/>
            <family val="2"/>
          </rPr>
          <t>Celda de entrada: complete con información del Banco de Guatemala o con el dato solicitado.</t>
        </r>
      </text>
    </comment>
    <comment ref="B17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Celda de entrada: complete con información del Banco de Guatemala o con el dato solicitado.</t>
        </r>
      </text>
    </comment>
    <comment ref="B18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Valor vinculado desde la Etapa 1.</t>
        </r>
      </text>
    </comment>
    <comment ref="B19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Valor vinculado desde la Etapa 1.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Macroeconomía 200 FP</author>
  </authors>
  <commentList>
    <comment ref="B7" authorId="0" shapeId="0" xr:uid="{00000000-0006-0000-0300-000001000000}">
      <text>
        <r>
          <rPr>
            <sz val="11"/>
            <color rgb="FF000000"/>
            <rFont val="Calibri"/>
            <family val="2"/>
          </rPr>
          <t>Supuesto académico del caso ANDAR GT, S.A. Puede modificarse para análisis de sensibilidad.</t>
        </r>
      </text>
    </comment>
    <comment ref="B8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Supuesto académico del caso ANDAR GT, S.A. Puede modificarse para análisis de sensibilidad.</t>
        </r>
      </text>
    </comment>
    <comment ref="B9" authorId="0" shapeId="0" xr:uid="{00000000-0006-0000-0300-000003000000}">
      <text>
        <r>
          <rPr>
            <sz val="11"/>
            <color rgb="FF000000"/>
            <rFont val="Calibri"/>
            <family val="2"/>
          </rPr>
          <t>Supuesto académico del caso ANDAR GT, S.A. Puede modificarse para análisis de sensibilidad.</t>
        </r>
      </text>
    </comment>
    <comment ref="B10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Supuesto académico del caso ANDAR GT, S.A. Puede modificarse para análisis de sensibilidad.</t>
        </r>
      </text>
    </comment>
    <comment ref="B11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Supuesto académico del caso ANDAR GT, S.A. Puede modificarse para análisis de sensibilidad.</t>
        </r>
      </text>
    </comment>
    <comment ref="B12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Supuesto académico del caso ANDAR GT, S.A. Puede modificarse para análisis de sensibilidad.</t>
        </r>
      </text>
    </comment>
    <comment ref="B13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Supuesto académico del caso ANDAR GT, S.A. Puede modificarse para análisis de sensibilidad.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Macroeconomía 200 FP</author>
  </authors>
  <commentList>
    <comment ref="A16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Incluya: tamaño del mercado nacional, mercado objetivo, pares demandados en los tres escenarios, coherencia de la capacidad y recomendación de avanzar o no.</t>
        </r>
      </text>
    </comment>
  </commentList>
</comments>
</file>

<file path=xl/sharedStrings.xml><?xml version="1.0" encoding="utf-8"?>
<sst xmlns="http://schemas.openxmlformats.org/spreadsheetml/2006/main" count="136" uniqueCount="124">
  <si>
    <t>LABORATORIO DE APLICACIÓN</t>
  </si>
  <si>
    <t>Del dato macroeconómico al mercado de un proyecto · Caso ANDAR GT, S.A.</t>
  </si>
  <si>
    <t>Estimación de la demanda potencial de un proyecto de producción y comercialización de calzado en Guatemala</t>
  </si>
  <si>
    <t>Datos del estudiante</t>
  </si>
  <si>
    <t>Nombre</t>
  </si>
  <si>
    <t>Carné</t>
  </si>
  <si>
    <t>Fecha</t>
  </si>
  <si>
    <t>Sección / grupo</t>
  </si>
  <si>
    <t>Cómo utilizar este archivo</t>
  </si>
  <si>
    <t>1. Descargue el archivo de Equilibrios de oferta y utilización del Banco de Guatemala y localice el producto P062: Calzado y sus partes.</t>
  </si>
  <si>
    <t>2. Complete únicamente las celdas crema. Las celdas verdes contienen fórmulas y se calculan automáticamente.</t>
  </si>
  <si>
    <t>3. Los supuestos académicos aparecen en azul claro y pueden modificarse para análisis de sensibilidad.</t>
  </si>
  <si>
    <t>4. Utilice los espacios blancos para justificar decisiones, explicar resultados y redactar conclusiones.</t>
  </si>
  <si>
    <t>5. Mantenga la unidad del Banguat en millones de quetzales, salvo que la hoja indique expresamente otra unidad.</t>
  </si>
  <si>
    <t>Leyenda visual</t>
  </si>
  <si>
    <t>Celda para completar</t>
  </si>
  <si>
    <t>Ingrese el dato obtenido de la fuente estadística o el valor solicitado.</t>
  </si>
  <si>
    <t>Fórmula / resultado automático</t>
  </si>
  <si>
    <t>No sobrescriba estas celdas; contienen fórmulas vinculadas entre etapas.</t>
  </si>
  <si>
    <t>Supuesto académico del caso</t>
  </si>
  <si>
    <t>Datos ficticios del laboratorio; pueden utilizarse para sensibilidad.</t>
  </si>
  <si>
    <t>Comentario / conclusión</t>
  </si>
  <si>
    <t>Espacio para interpretar resultados, justificar decisiones o redactar conclusiones.</t>
  </si>
  <si>
    <t>Fuente estadística</t>
  </si>
  <si>
    <t>Banco de Guatemala · Equilibrios de oferta y utilización · Producto P062: Calzado y sus partes, de cualquier material y de cualquier uso.
Sitio institucional: https://www.banguat.gob.gt/</t>
  </si>
  <si>
    <t>ETAPA 1 · LEER EL EQUILIBRIO</t>
  </si>
  <si>
    <t>Producto P062 · cifras en millones de quetzales</t>
  </si>
  <si>
    <t>Complete con cifras del Banco de Guatemala</t>
  </si>
  <si>
    <t>Concepto</t>
  </si>
  <si>
    <t>Producción (PB)</t>
  </si>
  <si>
    <t>Importaciones (CIF)</t>
  </si>
  <si>
    <t>Oferta total</t>
  </si>
  <si>
    <t>Consumo intermedio (PC)</t>
  </si>
  <si>
    <t>Consumo final privado (PC)</t>
  </si>
  <si>
    <t>Variación de existencias (PC)</t>
  </si>
  <si>
    <t>Exportaciones (FOB)</t>
  </si>
  <si>
    <t>Utilización total</t>
  </si>
  <si>
    <t>1.1 · Verificación contable</t>
  </si>
  <si>
    <t>Oferta total 2024</t>
  </si>
  <si>
    <t>Utilización total 2024</t>
  </si>
  <si>
    <t>Diferencia</t>
  </si>
  <si>
    <t>¿Equilibra?</t>
  </si>
  <si>
    <t>1.1 Interpretación económica. ¿Qué significa que la oferta total sea igual a la utilización total?</t>
  </si>
  <si>
    <t>1.2 ¿Qué partida utilizaría como mejor aproximación inicial al mercado nacional observado de ANDAR GT? Justifique en no más de cinco líneas.</t>
  </si>
  <si>
    <t>ETAPA 2 · EVOLUCIÓN DEL MERCADO</t>
  </si>
  <si>
    <t>Consumo final privado de calzado · Serie 2013–2024</t>
  </si>
  <si>
    <t>Año</t>
  </si>
  <si>
    <t>Consumo final privado
(millones de Q)</t>
  </si>
  <si>
    <t>Crecimiento anual</t>
  </si>
  <si>
    <t>Indicadores de control</t>
  </si>
  <si>
    <t>Crecimiento 2019 → 2020</t>
  </si>
  <si>
    <t>Crecimiento 2020 → 2021</t>
  </si>
  <si>
    <t>Crecimiento 2023 → 2024</t>
  </si>
  <si>
    <t>TCMA 2013 → 2024</t>
  </si>
  <si>
    <t>2.1 ¿Puede interpretarse el crecimiento del valor monetario como crecimiento de la cantidad de pares demandados? Explique.</t>
  </si>
  <si>
    <t>Identifique el principal quiebre de la serie y explique qué precaución tendría al proyectar la demanda futura.</t>
  </si>
  <si>
    <t>ETAPA 3 · DEL MERCADO NACIONAL AL MERCADO OBJETIVO</t>
  </si>
  <si>
    <t>Embudo de mercado · año base 2024</t>
  </si>
  <si>
    <t>Supuestos académicos del caso</t>
  </si>
  <si>
    <t>Participación segmento casual-deportivo gama media</t>
  </si>
  <si>
    <t>Supuesto del caso</t>
  </si>
  <si>
    <t>MERCADO NACIONAL</t>
  </si>
  <si>
    <t>Participación territorio / canales accesibles</t>
  </si>
  <si>
    <t>Precio neto promedio por par (Q)</t>
  </si>
  <si>
    <t>Captura escenario conservador</t>
  </si>
  <si>
    <t>Captura escenario base</t>
  </si>
  <si>
    <t>MERCADO RELEVANTE</t>
  </si>
  <si>
    <t>Captura escenario optimista</t>
  </si>
  <si>
    <t>Capacidad máxima primer año (pares)</t>
  </si>
  <si>
    <t>MERCADO OBJETIVO</t>
  </si>
  <si>
    <t>Embudo de mercado</t>
  </si>
  <si>
    <t>Mercado nacional observado</t>
  </si>
  <si>
    <t>Consumo final privado 2024</t>
  </si>
  <si>
    <t>Mercado relevante</t>
  </si>
  <si>
    <t>Mercado nacional × segmento</t>
  </si>
  <si>
    <t>Mercado objetivo</t>
  </si>
  <si>
    <t>Mercado relevante × territorio/canal</t>
  </si>
  <si>
    <t>3.1 Explique la diferencia entre mercado nacional, mercado relevante y mercado objetivo. ¿Por qué sería incorrecto utilizar directamente el consumo nacional como ventas esperadas?</t>
  </si>
  <si>
    <t>Comentarios sobre la razonabilidad de los supuestos de segmentación y cobertura.</t>
  </si>
  <si>
    <t>ETAPA 4 · DEMANDA CAPTURABLE</t>
  </si>
  <si>
    <t>Tres escenarios de penetración de mercado</t>
  </si>
  <si>
    <t>Escenario</t>
  </si>
  <si>
    <t>Captura</t>
  </si>
  <si>
    <t>Ventas potenciales
(millones de Q)</t>
  </si>
  <si>
    <t>Pares demandados</t>
  </si>
  <si>
    <t>Conservador</t>
  </si>
  <si>
    <t>Base</t>
  </si>
  <si>
    <t>Optimista</t>
  </si>
  <si>
    <t>Datos de referencia</t>
  </si>
  <si>
    <t>Mercado objetivo (millones de Q)</t>
  </si>
  <si>
    <t>Precio promedio por par</t>
  </si>
  <si>
    <t>4.1 Sensibilidad. ¿Qué variable tiene mayor capacidad de alterar la demanda estimada? Distinga entre parámetros sustentados por información oficial y supuestos comerciales.</t>
  </si>
  <si>
    <t>Comentarios sobre la razonabilidad de los escenarios de captura.</t>
  </si>
  <si>
    <t>ETAPA 5 · MERCADO VS. CAPACIDAD PRODUCTIVA</t>
  </si>
  <si>
    <t>La demanda potencial no siempre puede convertirse en ventas factibles</t>
  </si>
  <si>
    <t>Capacidad máxima</t>
  </si>
  <si>
    <t>Pares factibles</t>
  </si>
  <si>
    <t>Utilización capacidad</t>
  </si>
  <si>
    <t>Ventas factibles (Q)</t>
  </si>
  <si>
    <t>5.1 ¿En cuál escenario la restricción principal proviene del mercado y en cuál de la capacidad productiva? ¿Qué implicación tendría para el diseño técnico del proyecto?</t>
  </si>
  <si>
    <t>Conclusión de la etapa. Resuma la relación entre demanda estimada, capacidad instalada y ventas factibles.</t>
  </si>
  <si>
    <t>ETAPA 6 · RECOMENDACIÓN AL COMITÉ DE INVERSIÓN</t>
  </si>
  <si>
    <t>Síntesis ejecutiva del estudio preliminar de mercado</t>
  </si>
  <si>
    <t>Resumen cuantitativo</t>
  </si>
  <si>
    <t>Mercado nacional observado (millones de Q)</t>
  </si>
  <si>
    <t>Pares demandados · conservador</t>
  </si>
  <si>
    <t>Pares demandados · base</t>
  </si>
  <si>
    <t>Pares demandados · optimista</t>
  </si>
  <si>
    <t>Capacidad máxima primer año</t>
  </si>
  <si>
    <t>Recomendación ejecutiva · máximo 250 palabras</t>
  </si>
  <si>
    <t>Conteo aproximado de palabras</t>
  </si>
  <si>
    <t>Discusión final · límites de la estimación</t>
  </si>
  <si>
    <t>1. ¿Qué información adicional solicitaría para convertir esta aproximación en un estudio de mercado completo?</t>
  </si>
  <si>
    <t>2. ¿Qué cambiaría si el proyecto produjera calzado de seguridad para empresas en vez de calzado casual para hogares?</t>
  </si>
  <si>
    <t>3. ¿Por qué no sería correcto interpretar las importaciones como mercado disponible para sustituir ni proyectar únicamente con la TCMA 2013–2024?</t>
  </si>
  <si>
    <t>4. ¿Cómo se trasladaría una sobreestimación de la demanda hacia los ingresos, flujo de caja, VAN y TIR?</t>
  </si>
  <si>
    <t>Fuente y declaración de supuestos</t>
  </si>
  <si>
    <t>Fuente estadística: Banco de Guatemala, Equilibrio de oferta y utilización, producto P062. Sitio institucional: https://www.banguat.gob.gt/
Los porcentajes de segmentación, cobertura, captura, precio promedio y capacidad instalada son supuestos académicos del caso ANDAR GT, S.A.</t>
  </si>
  <si>
    <t>2023 p/</t>
  </si>
  <si>
    <t>2024 p/</t>
  </si>
  <si>
    <t>INGRESO</t>
  </si>
  <si>
    <t>=</t>
  </si>
  <si>
    <t>P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</si>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</sst>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%"/>
    <numFmt numFmtId="165" formatCode="\Q\ #,##0.00"/>
  </numFmts>
  <fonts count="22" x14ac:knownFonts="1">
    <font>
      <sz val="11"/>
      <color theme="1"/>
      <name val="Calibri"/>
      <family val="2"/>
      <scheme val="minor"/>
    </font>
    <font>
      <b/>
      <sz val="22"/>
      <color rgb="FFFFFFFF"/>
      <name val="Aptos Display"/>
    </font>
    <font>
      <i/>
      <sz val="10"/>
      <color rgb="FFD9E4EE"/>
      <name val="Aptos"/>
    </font>
    <font>
      <b/>
      <sz val="18"/>
      <color rgb="FF0B2E4F"/>
      <name val="Aptos Display"/>
    </font>
    <font>
      <b/>
      <sz val="12"/>
      <color rgb="FFFFFFFF"/>
      <name val="Aptos"/>
    </font>
    <font>
      <b/>
      <sz val="10"/>
      <color rgb="FF0B2E4F"/>
      <name val="Aptos"/>
    </font>
    <font>
      <sz val="10"/>
      <color rgb="FF0B2E4F"/>
      <name val="Aptos"/>
    </font>
    <font>
      <sz val="10"/>
      <color rgb="FF4B5563"/>
      <name val="Aptos"/>
    </font>
    <font>
      <sz val="9"/>
      <color rgb="FF4B5563"/>
      <name val="Aptos"/>
    </font>
    <font>
      <b/>
      <sz val="10"/>
      <color rgb="FF2F6B57"/>
      <name val="Aptos"/>
    </font>
    <font>
      <b/>
      <sz val="10"/>
      <color rgb="FF164873"/>
      <name val="Aptos"/>
    </font>
    <font>
      <b/>
      <sz val="10"/>
      <color rgb="FF4B5563"/>
      <name val="Aptos"/>
    </font>
    <font>
      <b/>
      <sz val="11"/>
      <color rgb="FF164873"/>
      <name val="Aptos"/>
    </font>
    <font>
      <b/>
      <sz val="10"/>
      <color rgb="FFFFFFFF"/>
      <name val="Aptos"/>
    </font>
    <font>
      <b/>
      <sz val="11"/>
      <color rgb="FF0B2E4F"/>
      <name val="Aptos"/>
    </font>
    <font>
      <i/>
      <sz val="9"/>
      <color rgb="FF4B5563"/>
      <name val="Aptos"/>
    </font>
    <font>
      <b/>
      <sz val="12"/>
      <color rgb="FF164873"/>
      <name val="Aptos Display"/>
    </font>
    <font>
      <b/>
      <sz val="13"/>
      <color rgb="FF0B2E4F"/>
      <name val="Aptos"/>
    </font>
    <font>
      <b/>
      <sz val="12"/>
      <color rgb="FFF97316"/>
      <name val="Aptos Display"/>
    </font>
    <font>
      <b/>
      <sz val="11"/>
      <color rgb="FFF97316"/>
      <name val="Aptos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B2E4F"/>
      </patternFill>
    </fill>
    <fill>
      <patternFill patternType="solid">
        <fgColor rgb="FFF97316"/>
      </patternFill>
    </fill>
    <fill>
      <patternFill patternType="solid">
        <fgColor rgb="FF164873"/>
      </patternFill>
    </fill>
    <fill>
      <patternFill patternType="solid">
        <fgColor rgb="FFF7F8FA"/>
      </patternFill>
    </fill>
    <fill>
      <patternFill patternType="solid">
        <fgColor rgb="FFFFF2E8"/>
      </patternFill>
    </fill>
    <fill>
      <patternFill patternType="solid">
        <fgColor rgb="FFEAF4EF"/>
      </patternFill>
    </fill>
    <fill>
      <patternFill patternType="solid">
        <fgColor rgb="FFEEF4F8"/>
      </patternFill>
    </fill>
    <fill>
      <patternFill patternType="solid">
        <fgColor rgb="FFFFFFFF"/>
      </patternFill>
    </fill>
    <fill>
      <patternFill patternType="solid">
        <fgColor rgb="FFDCEAF3"/>
      </patternFill>
    </fill>
  </fills>
  <borders count="7">
    <border>
      <left/>
      <right/>
      <top/>
      <bottom/>
      <diagonal/>
    </border>
    <border>
      <left style="medium">
        <color rgb="FFF97316"/>
      </left>
      <right style="medium">
        <color rgb="FFF97316"/>
      </right>
      <top style="medium">
        <color rgb="FFF97316"/>
      </top>
      <bottom style="medium">
        <color rgb="FFF97316"/>
      </bottom>
      <diagonal/>
    </border>
    <border>
      <left style="thin">
        <color rgb="FFD7DEE5"/>
      </left>
      <right style="thin">
        <color rgb="FFD7DEE5"/>
      </right>
      <top style="thin">
        <color rgb="FFD7DEE5"/>
      </top>
      <bottom style="thin">
        <color rgb="FFD7DEE5"/>
      </bottom>
      <diagonal/>
    </border>
    <border>
      <left style="medium">
        <color rgb="FF164873"/>
      </left>
      <right style="medium">
        <color rgb="FF164873"/>
      </right>
      <top style="medium">
        <color rgb="FF164873"/>
      </top>
      <bottom style="thin">
        <color rgb="FFD7DEE5"/>
      </bottom>
      <diagonal/>
    </border>
    <border>
      <left style="medium">
        <color rgb="FF164873"/>
      </left>
      <right style="medium">
        <color rgb="FF164873"/>
      </right>
      <top style="thin">
        <color rgb="FFD7DEE5"/>
      </top>
      <bottom style="medium">
        <color rgb="FF164873"/>
      </bottom>
      <diagonal/>
    </border>
    <border>
      <left style="medium">
        <color rgb="FF164873"/>
      </left>
      <right style="medium">
        <color rgb="FF164873"/>
      </right>
      <top style="medium">
        <color rgb="FF164873"/>
      </top>
      <bottom style="medium">
        <color rgb="FF164873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3" fontId="21" fillId="0" borderId="0" applyFont="0" applyFill="0" applyBorder="0" applyAlignment="0" applyProtection="0"/>
  </cellStyleXfs>
  <cellXfs count="45">
    <xf numFmtId="0" fontId="0" fillId="0" borderId="0" xfId="0"/>
    <xf numFmtId="0" fontId="5" fillId="5" borderId="2" xfId="0" applyFont="1" applyFill="1" applyBorder="1" applyAlignment="1">
      <alignment vertical="center" wrapText="1"/>
    </xf>
    <xf numFmtId="0" fontId="13" fillId="4" borderId="2" xfId="0" applyFont="1" applyFill="1" applyBorder="1" applyAlignment="1">
      <alignment horizontal="center" vertical="center" wrapText="1"/>
    </xf>
    <xf numFmtId="4" fontId="6" fillId="6" borderId="2" xfId="0" applyNumberFormat="1" applyFont="1" applyFill="1" applyBorder="1" applyAlignment="1">
      <alignment horizontal="right" vertical="center"/>
    </xf>
    <xf numFmtId="4" fontId="9" fillId="7" borderId="2" xfId="0" applyNumberFormat="1" applyFont="1" applyFill="1" applyBorder="1" applyAlignment="1">
      <alignment horizontal="right" vertical="center"/>
    </xf>
    <xf numFmtId="0" fontId="9" fillId="7" borderId="2" xfId="0" applyFont="1" applyFill="1" applyBorder="1" applyAlignment="1">
      <alignment horizontal="right" vertical="center"/>
    </xf>
    <xf numFmtId="0" fontId="14" fillId="5" borderId="2" xfId="0" applyFont="1" applyFill="1" applyBorder="1" applyAlignment="1">
      <alignment horizontal="center"/>
    </xf>
    <xf numFmtId="10" fontId="9" fillId="7" borderId="2" xfId="0" applyNumberFormat="1" applyFont="1" applyFill="1" applyBorder="1" applyAlignment="1">
      <alignment horizontal="right" vertical="center"/>
    </xf>
    <xf numFmtId="164" fontId="10" fillId="8" borderId="2" xfId="0" applyNumberFormat="1" applyFont="1" applyFill="1" applyBorder="1" applyAlignment="1">
      <alignment horizontal="right" vertical="center"/>
    </xf>
    <xf numFmtId="165" fontId="10" fillId="8" borderId="2" xfId="0" applyNumberFormat="1" applyFont="1" applyFill="1" applyBorder="1" applyAlignment="1">
      <alignment horizontal="right" vertical="center"/>
    </xf>
    <xf numFmtId="3" fontId="10" fillId="8" borderId="2" xfId="0" applyNumberFormat="1" applyFont="1" applyFill="1" applyBorder="1" applyAlignment="1">
      <alignment horizontal="right" vertical="center"/>
    </xf>
    <xf numFmtId="164" fontId="9" fillId="7" borderId="2" xfId="0" applyNumberFormat="1" applyFont="1" applyFill="1" applyBorder="1" applyAlignment="1">
      <alignment horizontal="right" vertical="center"/>
    </xf>
    <xf numFmtId="3" fontId="9" fillId="7" borderId="2" xfId="0" applyNumberFormat="1" applyFont="1" applyFill="1" applyBorder="1" applyAlignment="1">
      <alignment horizontal="right" vertical="center"/>
    </xf>
    <xf numFmtId="165" fontId="9" fillId="7" borderId="2" xfId="0" applyNumberFormat="1" applyFont="1" applyFill="1" applyBorder="1" applyAlignment="1">
      <alignment horizontal="right" vertical="center"/>
    </xf>
    <xf numFmtId="0" fontId="19" fillId="6" borderId="0" xfId="0" applyFont="1" applyFill="1" applyAlignment="1">
      <alignment horizontal="center"/>
    </xf>
    <xf numFmtId="0" fontId="1" fillId="2" borderId="0" xfId="0" applyFont="1" applyFill="1" applyAlignment="1">
      <alignment vertical="center"/>
    </xf>
    <xf numFmtId="0" fontId="0" fillId="0" borderId="0" xfId="0"/>
    <xf numFmtId="0" fontId="10" fillId="8" borderId="3" xfId="0" applyFont="1" applyFill="1" applyBorder="1" applyAlignment="1">
      <alignment vertical="center" wrapText="1"/>
    </xf>
    <xf numFmtId="0" fontId="7" fillId="9" borderId="4" xfId="0" applyFont="1" applyFill="1" applyBorder="1" applyAlignment="1">
      <alignment vertical="top" wrapText="1"/>
    </xf>
    <xf numFmtId="0" fontId="0" fillId="3" borderId="0" xfId="0" applyFill="1"/>
    <xf numFmtId="0" fontId="2" fillId="2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7" fillId="5" borderId="2" xfId="0" applyFont="1" applyFill="1" applyBorder="1" applyAlignment="1">
      <alignment vertical="center" wrapText="1"/>
    </xf>
    <xf numFmtId="0" fontId="8" fillId="0" borderId="0" xfId="0" applyFont="1" applyAlignment="1">
      <alignment wrapText="1"/>
    </xf>
    <xf numFmtId="0" fontId="11" fillId="9" borderId="2" xfId="0" applyFont="1" applyFill="1" applyBorder="1" applyAlignment="1">
      <alignment horizontal="center"/>
    </xf>
    <xf numFmtId="0" fontId="6" fillId="6" borderId="2" xfId="0" applyFont="1" applyFill="1" applyBorder="1"/>
    <xf numFmtId="0" fontId="7" fillId="0" borderId="0" xfId="0" applyFont="1" applyAlignment="1">
      <alignment vertical="center" wrapText="1"/>
    </xf>
    <xf numFmtId="0" fontId="5" fillId="6" borderId="2" xfId="0" applyFont="1" applyFill="1" applyBorder="1" applyAlignment="1">
      <alignment horizontal="center"/>
    </xf>
    <xf numFmtId="0" fontId="10" fillId="8" borderId="2" xfId="0" applyFont="1" applyFill="1" applyBorder="1" applyAlignment="1">
      <alignment horizontal="center"/>
    </xf>
    <xf numFmtId="0" fontId="9" fillId="7" borderId="2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12" fillId="0" borderId="0" xfId="0" applyFont="1"/>
    <xf numFmtId="0" fontId="15" fillId="0" borderId="0" xfId="0" applyFont="1" applyAlignment="1">
      <alignment vertical="center"/>
    </xf>
    <xf numFmtId="0" fontId="16" fillId="8" borderId="5" xfId="0" applyFont="1" applyFill="1" applyBorder="1" applyAlignment="1">
      <alignment horizontal="center" vertical="center"/>
    </xf>
    <xf numFmtId="0" fontId="18" fillId="6" borderId="5" xfId="0" applyFont="1" applyFill="1" applyBorder="1" applyAlignment="1">
      <alignment horizontal="center" vertical="center"/>
    </xf>
    <xf numFmtId="4" fontId="17" fillId="0" borderId="2" xfId="0" applyNumberFormat="1" applyFont="1" applyBorder="1" applyAlignment="1">
      <alignment horizontal="center"/>
    </xf>
    <xf numFmtId="0" fontId="15" fillId="0" borderId="0" xfId="0" applyFont="1" applyAlignment="1">
      <alignment vertical="center" wrapText="1"/>
    </xf>
    <xf numFmtId="0" fontId="16" fillId="10" borderId="5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vertical="center" wrapText="1"/>
    </xf>
    <xf numFmtId="0" fontId="8" fillId="5" borderId="2" xfId="0" applyFont="1" applyFill="1" applyBorder="1" applyAlignment="1">
      <alignment vertical="center" wrapText="1"/>
    </xf>
    <xf numFmtId="0" fontId="7" fillId="9" borderId="1" xfId="0" applyFont="1" applyFill="1" applyBorder="1" applyAlignment="1">
      <alignment vertical="top" wrapText="1"/>
    </xf>
    <xf numFmtId="0" fontId="15" fillId="0" borderId="0" xfId="0" applyFont="1"/>
    <xf numFmtId="43" fontId="0" fillId="0" borderId="0" xfId="1" applyFont="1"/>
    <xf numFmtId="43" fontId="0" fillId="0" borderId="0" xfId="0" applyNumberFormat="1"/>
    <xf numFmtId="0" fontId="0" fillId="0" borderId="6" xfId="0" applyBorder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s-GT"/>
              <a:t>Consumo final privado de calzado, 2013–2024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Etapa2_Evolucion!$B$7</c:f>
              <c:strCache>
                <c:ptCount val="1"/>
                <c:pt idx="0">
                  <c:v>Consumo final privado
(millones de Q)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Etapa2_Evolucion!$A$8:$A$19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Etapa2_Evolucion!$B$8:$B$19</c:f>
              <c:numCache>
                <c:formatCode>#,##0.00</c:formatCode>
                <c:ptCount val="12"/>
                <c:pt idx="0">
                  <c:v>4549.2620239999997</c:v>
                </c:pt>
                <c:pt idx="1">
                  <c:v>4828.8815000000004</c:v>
                </c:pt>
                <c:pt idx="2">
                  <c:v>5085.5368699999999</c:v>
                </c:pt>
                <c:pt idx="3">
                  <c:v>5247.8107449999998</c:v>
                </c:pt>
                <c:pt idx="4">
                  <c:v>5348.2194939999999</c:v>
                </c:pt>
                <c:pt idx="5">
                  <c:v>5541.2927589999999</c:v>
                </c:pt>
                <c:pt idx="6">
                  <c:v>5655.0098639999997</c:v>
                </c:pt>
                <c:pt idx="7">
                  <c:v>4718.3033960000002</c:v>
                </c:pt>
                <c:pt idx="8">
                  <c:v>5492.1077130000003</c:v>
                </c:pt>
                <c:pt idx="9">
                  <c:v>6063.1149320000004</c:v>
                </c:pt>
                <c:pt idx="10">
                  <c:v>6480.7084770000001</c:v>
                </c:pt>
                <c:pt idx="11">
                  <c:v>7052.9348650000002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4EA-5E4B-A8E1-7B51786FB5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GT"/>
                  <a:t>Año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GT"/>
                  <a:t>Millones de quetzales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s-GT"/>
              <a:t>Pares demandados vs. capacidad máxima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Etapa5_Capacidad!$B$7</c:f>
              <c:strCache>
                <c:ptCount val="1"/>
                <c:pt idx="0">
                  <c:v>Pares demandados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Etapa5_Capacidad!$A$8:$A$10</c:f>
              <c:strCache>
                <c:ptCount val="3"/>
                <c:pt idx="0">
                  <c:v>Conservador</c:v>
                </c:pt>
                <c:pt idx="1">
                  <c:v>Base</c:v>
                </c:pt>
                <c:pt idx="2">
                  <c:v>Optimista</c:v>
                </c:pt>
              </c:strCache>
            </c:strRef>
          </c:cat>
          <c:val>
            <c:numRef>
              <c:f>Etapa5_Capacidad!$B$8:$B$10</c:f>
              <c:numCache>
                <c:formatCode>#,##0</c:formatCode>
                <c:ptCount val="3"/>
                <c:pt idx="0">
                  <c:v>18891.789816964287</c:v>
                </c:pt>
                <c:pt idx="1">
                  <c:v>25189.053089285717</c:v>
                </c:pt>
                <c:pt idx="2">
                  <c:v>37783.579633928573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8E-4D4D-9E0F-ECA69ACC026D}"/>
            </c:ext>
          </c:extLst>
        </c:ser>
        <c:ser>
          <c:idx val="1"/>
          <c:order val="1"/>
          <c:tx>
            <c:strRef>
              <c:f>Etapa5_Capacidad!$C$7</c:f>
              <c:strCache>
                <c:ptCount val="1"/>
                <c:pt idx="0">
                  <c:v>Capacidad máxima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Etapa5_Capacidad!$A$8:$A$10</c:f>
              <c:strCache>
                <c:ptCount val="3"/>
                <c:pt idx="0">
                  <c:v>Conservador</c:v>
                </c:pt>
                <c:pt idx="1">
                  <c:v>Base</c:v>
                </c:pt>
                <c:pt idx="2">
                  <c:v>Optimista</c:v>
                </c:pt>
              </c:strCache>
            </c:strRef>
          </c:cat>
          <c:val>
            <c:numRef>
              <c:f>Etapa5_Capacidad!$C$8:$C$10</c:f>
              <c:numCache>
                <c:formatCode>#,##0</c:formatCode>
                <c:ptCount val="3"/>
                <c:pt idx="0">
                  <c:v>30000</c:v>
                </c:pt>
                <c:pt idx="1">
                  <c:v>30000</c:v>
                </c:pt>
                <c:pt idx="2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8E-4D4D-9E0F-ECA69ACC02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GT"/>
                  <a:t>Escenario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GT"/>
                  <a:t>Pares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205153</xdr:colOff>
      <xdr:row>14</xdr:row>
      <xdr:rowOff>87923</xdr:rowOff>
    </xdr:from>
    <xdr:to>
      <xdr:col>17</xdr:col>
      <xdr:colOff>140861</xdr:colOff>
      <xdr:row>23</xdr:row>
      <xdr:rowOff>448931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1E52ACB-5B81-3399-B7F4-6DEC7771D0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98538" y="3175000"/>
          <a:ext cx="6842554" cy="22171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6</xdr:row>
      <xdr:rowOff>0</xdr:rowOff>
    </xdr:from>
    <xdr:ext cx="450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Downloads/3_Equilibrios_de_oferta_y_utilizacion%20(2).xlsm" TargetMode="External"/><Relationship Id="rId2" Type="http://schemas.openxmlformats.org/officeDocument/2006/relationships/externalLinkPath" Target="/Users/paulogarridogrijalva/Downloads/3_Equilibrios_de_oferta_y_utilizacion%20(2).xlsm" TargetMode="External"/><Relationship Id="rId1" Type="http://schemas.openxmlformats.org/officeDocument/2006/relationships/externalLinkPath" Target="/Users/paulogarridogrijalva/Downloads/3_Equilibrios_de_oferta_y_utilizacion%20(2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Índice"/>
      <sheetName val="Equilibrio Oferta-Utilización"/>
      <sheetName val="Catálogo"/>
      <sheetName val="Datos"/>
    </sheetNames>
    <sheetDataSet>
      <sheetData sheetId="0"/>
      <sheetData sheetId="1">
        <row r="10">
          <cell r="B10" t="str">
            <v>Concepto</v>
          </cell>
          <cell r="D10">
            <v>2013</v>
          </cell>
          <cell r="E10">
            <v>2014</v>
          </cell>
          <cell r="F10">
            <v>2015</v>
          </cell>
          <cell r="G10">
            <v>2016</v>
          </cell>
          <cell r="H10">
            <v>2017</v>
          </cell>
          <cell r="I10">
            <v>2018</v>
          </cell>
          <cell r="J10">
            <v>2019</v>
          </cell>
          <cell r="K10">
            <v>2020</v>
          </cell>
          <cell r="L10">
            <v>2021</v>
          </cell>
          <cell r="M10">
            <v>2022</v>
          </cell>
          <cell r="N10" t="str">
            <v>2023 p/</v>
          </cell>
          <cell r="O10" t="str">
            <v>2024 p/</v>
          </cell>
        </row>
        <row r="11">
          <cell r="B11" t="str">
            <v>Producción (PB)</v>
          </cell>
          <cell r="D11">
            <v>1371.7039689999999</v>
          </cell>
          <cell r="E11">
            <v>1367.815265</v>
          </cell>
          <cell r="F11">
            <v>1364.3759789999999</v>
          </cell>
          <cell r="G11">
            <v>1378.5848430000001</v>
          </cell>
          <cell r="H11">
            <v>1358.4192439999999</v>
          </cell>
          <cell r="I11">
            <v>1382.7190149999999</v>
          </cell>
          <cell r="J11">
            <v>1396.2169690000001</v>
          </cell>
          <cell r="K11">
            <v>1239.4823409999999</v>
          </cell>
          <cell r="L11">
            <v>1524.335124</v>
          </cell>
          <cell r="M11">
            <v>1741.4354699999999</v>
          </cell>
          <cell r="N11">
            <v>1767.3027460000001</v>
          </cell>
          <cell r="O11">
            <v>1867.0315720000001</v>
          </cell>
        </row>
        <row r="12">
          <cell r="B12" t="str">
            <v>Impuestos sobre los productos, excepto IVA e impuestos sobre las importaciones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B13" t="str">
            <v>Subvenciones a los productos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</row>
        <row r="14">
          <cell r="B14" t="str">
            <v>Importaciones (CIF)</v>
          </cell>
          <cell r="D14">
            <v>1194.7479390000001</v>
          </cell>
          <cell r="E14">
            <v>1234.8006559999999</v>
          </cell>
          <cell r="F14">
            <v>1378.3880630000001</v>
          </cell>
          <cell r="G14">
            <v>1422.3319670000001</v>
          </cell>
          <cell r="H14">
            <v>1447.68586</v>
          </cell>
          <cell r="I14">
            <v>1529.4789290000001</v>
          </cell>
          <cell r="J14">
            <v>1541.3325729999999</v>
          </cell>
          <cell r="K14">
            <v>1148.4220399999999</v>
          </cell>
          <cell r="L14">
            <v>1671.4063229999999</v>
          </cell>
          <cell r="M14">
            <v>2085.893403</v>
          </cell>
          <cell r="N14">
            <v>2240.933043</v>
          </cell>
          <cell r="O14">
            <v>2448.2679859999998</v>
          </cell>
        </row>
        <row r="15">
          <cell r="B15" t="str">
            <v>Ajuste CIF/FOB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</row>
        <row r="16">
          <cell r="B16" t="str">
            <v>Impuestos y derechos sobre las importaciones excepto IVA</v>
          </cell>
          <cell r="D16">
            <v>104.65356300000001</v>
          </cell>
          <cell r="E16">
            <v>108.191061</v>
          </cell>
          <cell r="F16">
            <v>122.16019</v>
          </cell>
          <cell r="G16">
            <v>134.31772100000001</v>
          </cell>
          <cell r="H16">
            <v>141.84079800000001</v>
          </cell>
          <cell r="I16">
            <v>144.247131</v>
          </cell>
          <cell r="J16">
            <v>147.35365999999999</v>
          </cell>
          <cell r="K16">
            <v>103.39215</v>
          </cell>
          <cell r="L16">
            <v>157.077787</v>
          </cell>
          <cell r="M16">
            <v>185.03998100000001</v>
          </cell>
          <cell r="N16">
            <v>204.77020200000001</v>
          </cell>
          <cell r="O16">
            <v>231.884052</v>
          </cell>
        </row>
        <row r="17">
          <cell r="B17" t="str">
            <v>Impuesto tipo valor agregado (IVA)</v>
          </cell>
          <cell r="D17">
            <v>246.90091000000001</v>
          </cell>
          <cell r="E17">
            <v>261.02015</v>
          </cell>
          <cell r="F17">
            <v>273.62526400000002</v>
          </cell>
          <cell r="G17">
            <v>281.80379499999998</v>
          </cell>
          <cell r="H17">
            <v>299.24541499999998</v>
          </cell>
          <cell r="I17">
            <v>311.61096199999997</v>
          </cell>
          <cell r="J17">
            <v>318.15399000000002</v>
          </cell>
          <cell r="K17">
            <v>260.77712100000002</v>
          </cell>
          <cell r="L17">
            <v>347.01932699999998</v>
          </cell>
          <cell r="M17">
            <v>393.57217900000001</v>
          </cell>
          <cell r="N17">
            <v>413.53330999999997</v>
          </cell>
          <cell r="O17">
            <v>449.75316600000002</v>
          </cell>
        </row>
        <row r="18">
          <cell r="B18" t="str">
            <v>Márgenes de comercio, transporte y distribución de energía</v>
          </cell>
          <cell r="D18">
            <v>2071.154978</v>
          </cell>
          <cell r="E18">
            <v>2256.0075489999999</v>
          </cell>
          <cell r="F18">
            <v>2396.6410070000002</v>
          </cell>
          <cell r="G18">
            <v>2466.0004509999999</v>
          </cell>
          <cell r="H18">
            <v>2539.5159210000002</v>
          </cell>
          <cell r="I18">
            <v>2621.7831849999998</v>
          </cell>
          <cell r="J18">
            <v>2674.8751630000002</v>
          </cell>
          <cell r="K18">
            <v>2285.0440140000001</v>
          </cell>
          <cell r="L18">
            <v>2426.4198710000001</v>
          </cell>
          <cell r="M18">
            <v>2419.7284970000001</v>
          </cell>
          <cell r="N18">
            <v>2571.295885</v>
          </cell>
          <cell r="O18">
            <v>2797.1971840000001</v>
          </cell>
        </row>
        <row r="19">
          <cell r="B19" t="str">
            <v>Oferta total</v>
          </cell>
          <cell r="D19">
            <v>4989.1613589999997</v>
          </cell>
          <cell r="E19">
            <v>5227.8346809999994</v>
          </cell>
          <cell r="F19">
            <v>5535.1905029999998</v>
          </cell>
          <cell r="G19">
            <v>5683.0387769999998</v>
          </cell>
          <cell r="H19">
            <v>5786.7072380000009</v>
          </cell>
          <cell r="I19">
            <v>5989.8392220000005</v>
          </cell>
          <cell r="J19">
            <v>6077.932354999999</v>
          </cell>
          <cell r="K19">
            <v>5037.1176660000001</v>
          </cell>
          <cell r="L19">
            <v>6126.2584320000005</v>
          </cell>
          <cell r="M19">
            <v>6825.6695300000001</v>
          </cell>
          <cell r="N19">
            <v>7197.8351860000002</v>
          </cell>
          <cell r="O19">
            <v>7794.133960000001</v>
          </cell>
        </row>
        <row r="20">
          <cell r="B20" t="str">
            <v>Consumo intermedio (PC)</v>
          </cell>
          <cell r="D20">
            <v>147.291087</v>
          </cell>
          <cell r="E20">
            <v>145.07352499999999</v>
          </cell>
          <cell r="F20">
            <v>146.39994999999999</v>
          </cell>
          <cell r="G20">
            <v>149.06403499999999</v>
          </cell>
          <cell r="H20">
            <v>148.44613699999999</v>
          </cell>
          <cell r="I20">
            <v>151.590901</v>
          </cell>
          <cell r="J20">
            <v>155.822137</v>
          </cell>
          <cell r="K20">
            <v>136.315427</v>
          </cell>
          <cell r="L20">
            <v>173.676312</v>
          </cell>
          <cell r="M20">
            <v>200.989656</v>
          </cell>
          <cell r="N20">
            <v>211.12398400000001</v>
          </cell>
          <cell r="O20">
            <v>232.72226800000001</v>
          </cell>
        </row>
        <row r="21">
          <cell r="B21" t="str">
            <v>Consumo final privado (PC)</v>
          </cell>
          <cell r="D21">
            <v>4549.2620239999997</v>
          </cell>
          <cell r="E21">
            <v>4828.8815000000004</v>
          </cell>
          <cell r="F21">
            <v>5085.5368699999999</v>
          </cell>
          <cell r="G21">
            <v>5247.8107449999998</v>
          </cell>
          <cell r="H21">
            <v>5348.2194939999999</v>
          </cell>
          <cell r="I21">
            <v>5541.2927589999999</v>
          </cell>
          <cell r="J21">
            <v>5655.0098639999997</v>
          </cell>
          <cell r="K21">
            <v>4718.3033960000002</v>
          </cell>
          <cell r="L21">
            <v>5492.1077130000003</v>
          </cell>
          <cell r="M21">
            <v>6063.1149320000004</v>
          </cell>
          <cell r="N21">
            <v>6480.7084770000001</v>
          </cell>
          <cell r="O21">
            <v>7052.9348650000002</v>
          </cell>
        </row>
        <row r="22">
          <cell r="B22" t="str">
            <v>Consumo final del gobierno (PC)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</row>
        <row r="23">
          <cell r="B23" t="str">
            <v>Formación bruta de capital fijo (PC)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</row>
        <row r="24">
          <cell r="B24" t="str">
            <v>Variación de existencias (PC)</v>
          </cell>
          <cell r="D24">
            <v>8.5595529999999993</v>
          </cell>
          <cell r="E24">
            <v>-10.600236000000001</v>
          </cell>
          <cell r="F24">
            <v>30.683982</v>
          </cell>
          <cell r="G24">
            <v>-24.706087</v>
          </cell>
          <cell r="H24">
            <v>-4.2019460000000004</v>
          </cell>
          <cell r="I24">
            <v>5.1141139999999998</v>
          </cell>
          <cell r="J24">
            <v>27.614329000000001</v>
          </cell>
          <cell r="K24">
            <v>-78.458313000000004</v>
          </cell>
          <cell r="L24">
            <v>60.227936999999997</v>
          </cell>
          <cell r="M24">
            <v>102.944022</v>
          </cell>
          <cell r="N24">
            <v>76.258981000000006</v>
          </cell>
          <cell r="O24">
            <v>-46.965079000000003</v>
          </cell>
        </row>
        <row r="25">
          <cell r="B25" t="str">
            <v>Exportaciones (FOB)</v>
          </cell>
          <cell r="D25">
            <v>284.04869600000001</v>
          </cell>
          <cell r="E25">
            <v>264.47989100000001</v>
          </cell>
          <cell r="F25">
            <v>272.56970000000001</v>
          </cell>
          <cell r="G25">
            <v>310.87008500000002</v>
          </cell>
          <cell r="H25">
            <v>294.24355300000002</v>
          </cell>
          <cell r="I25">
            <v>291.84144600000002</v>
          </cell>
          <cell r="J25">
            <v>239.48602399999999</v>
          </cell>
          <cell r="K25">
            <v>260.957154</v>
          </cell>
          <cell r="L25">
            <v>400.24646899999999</v>
          </cell>
          <cell r="M25">
            <v>458.62091900000001</v>
          </cell>
          <cell r="N25">
            <v>429.74374399999999</v>
          </cell>
          <cell r="O25">
            <v>555.44190600000002</v>
          </cell>
        </row>
        <row r="26">
          <cell r="B26" t="str">
            <v>Utilización total</v>
          </cell>
          <cell r="D26">
            <v>4989.1613599999991</v>
          </cell>
          <cell r="E26">
            <v>5227.8346799999999</v>
          </cell>
          <cell r="F26">
            <v>5535.1905019999995</v>
          </cell>
          <cell r="G26">
            <v>5683.0387780000001</v>
          </cell>
          <cell r="H26">
            <v>5786.707238</v>
          </cell>
          <cell r="I26">
            <v>5989.8392199999998</v>
          </cell>
          <cell r="J26">
            <v>6077.9323539999996</v>
          </cell>
          <cell r="K26">
            <v>5037.1176640000003</v>
          </cell>
          <cell r="L26">
            <v>6126.2584309999993</v>
          </cell>
          <cell r="M26">
            <v>6825.6695289999998</v>
          </cell>
          <cell r="N26">
            <v>7197.8351860000002</v>
          </cell>
          <cell r="O26">
            <v>7794.133960000001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anguat.gob.gt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B2E4F"/>
    <pageSetUpPr fitToPage="1"/>
  </sheetPr>
  <dimension ref="A1:H27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H1"/>
    </sheetView>
  </sheetViews>
  <sheetFormatPr baseColWidth="10" defaultColWidth="8.83203125" defaultRowHeight="15" x14ac:dyDescent="0.2"/>
  <cols>
    <col min="1" max="1" width="3" customWidth="1"/>
    <col min="2" max="2" width="20" customWidth="1"/>
    <col min="3" max="7" width="22" customWidth="1"/>
    <col min="8" max="8" width="3" customWidth="1"/>
  </cols>
  <sheetData>
    <row r="1" spans="1:8" ht="34" customHeight="1" x14ac:dyDescent="0.2">
      <c r="A1" s="15" t="s">
        <v>0</v>
      </c>
      <c r="B1" s="16"/>
      <c r="C1" s="16"/>
      <c r="D1" s="16"/>
      <c r="E1" s="16"/>
      <c r="F1" s="16"/>
      <c r="G1" s="16"/>
      <c r="H1" s="16"/>
    </row>
    <row r="2" spans="1:8" ht="20" customHeight="1" x14ac:dyDescent="0.2">
      <c r="A2" s="20" t="s">
        <v>1</v>
      </c>
      <c r="B2" s="16"/>
      <c r="C2" s="16"/>
      <c r="D2" s="16"/>
      <c r="E2" s="16"/>
      <c r="F2" s="16"/>
      <c r="G2" s="16"/>
      <c r="H2" s="16"/>
    </row>
    <row r="3" spans="1:8" ht="5" customHeight="1" x14ac:dyDescent="0.2">
      <c r="A3" s="19"/>
      <c r="B3" s="16"/>
      <c r="C3" s="16"/>
      <c r="D3" s="16"/>
      <c r="E3" s="16"/>
      <c r="F3" s="16"/>
      <c r="G3" s="16"/>
      <c r="H3" s="16"/>
    </row>
    <row r="5" spans="1:8" x14ac:dyDescent="0.2">
      <c r="B5" s="30" t="s">
        <v>2</v>
      </c>
      <c r="C5" s="16"/>
      <c r="D5" s="16"/>
      <c r="E5" s="16"/>
      <c r="F5" s="16"/>
      <c r="G5" s="16"/>
    </row>
    <row r="6" spans="1:8" x14ac:dyDescent="0.2">
      <c r="B6" s="16"/>
      <c r="C6" s="16"/>
      <c r="D6" s="16"/>
      <c r="E6" s="16"/>
      <c r="F6" s="16"/>
      <c r="G6" s="16"/>
    </row>
    <row r="8" spans="1:8" ht="23" customHeight="1" x14ac:dyDescent="0.2">
      <c r="B8" s="21" t="s">
        <v>3</v>
      </c>
      <c r="C8" s="16"/>
      <c r="D8" s="16"/>
      <c r="E8" s="16"/>
      <c r="F8" s="16"/>
      <c r="G8" s="16"/>
    </row>
    <row r="9" spans="1:8" x14ac:dyDescent="0.2">
      <c r="B9" s="1" t="s">
        <v>4</v>
      </c>
      <c r="C9" s="25"/>
      <c r="D9" s="16"/>
      <c r="E9" s="1" t="s">
        <v>5</v>
      </c>
      <c r="F9" s="25"/>
      <c r="G9" s="16"/>
    </row>
    <row r="10" spans="1:8" x14ac:dyDescent="0.2">
      <c r="B10" s="1" t="s">
        <v>6</v>
      </c>
      <c r="C10" s="25"/>
      <c r="D10" s="16"/>
      <c r="E10" s="1" t="s">
        <v>7</v>
      </c>
      <c r="F10" s="25"/>
      <c r="G10" s="16"/>
    </row>
    <row r="12" spans="1:8" ht="23" customHeight="1" x14ac:dyDescent="0.2">
      <c r="B12" s="21" t="s">
        <v>8</v>
      </c>
      <c r="C12" s="16"/>
      <c r="D12" s="16"/>
      <c r="E12" s="16"/>
      <c r="F12" s="16"/>
      <c r="G12" s="16"/>
    </row>
    <row r="13" spans="1:8" ht="30" customHeight="1" x14ac:dyDescent="0.2">
      <c r="B13" s="26" t="s">
        <v>9</v>
      </c>
      <c r="C13" s="16"/>
      <c r="D13" s="16"/>
      <c r="E13" s="16"/>
      <c r="F13" s="16"/>
      <c r="G13" s="16"/>
    </row>
    <row r="14" spans="1:8" ht="30" customHeight="1" x14ac:dyDescent="0.2">
      <c r="B14" s="26" t="s">
        <v>10</v>
      </c>
      <c r="C14" s="16"/>
      <c r="D14" s="16"/>
      <c r="E14" s="16"/>
      <c r="F14" s="16"/>
      <c r="G14" s="16"/>
    </row>
    <row r="15" spans="1:8" ht="30" customHeight="1" x14ac:dyDescent="0.2">
      <c r="B15" s="26" t="s">
        <v>11</v>
      </c>
      <c r="C15" s="16"/>
      <c r="D15" s="16"/>
      <c r="E15" s="16"/>
      <c r="F15" s="16"/>
      <c r="G15" s="16"/>
    </row>
    <row r="16" spans="1:8" ht="30" customHeight="1" x14ac:dyDescent="0.2">
      <c r="B16" s="26" t="s">
        <v>12</v>
      </c>
      <c r="C16" s="16"/>
      <c r="D16" s="16"/>
      <c r="E16" s="16"/>
      <c r="F16" s="16"/>
      <c r="G16" s="16"/>
    </row>
    <row r="17" spans="2:7" ht="30" customHeight="1" x14ac:dyDescent="0.2">
      <c r="B17" s="26" t="s">
        <v>13</v>
      </c>
      <c r="C17" s="16"/>
      <c r="D17" s="16"/>
      <c r="E17" s="16"/>
      <c r="F17" s="16"/>
      <c r="G17" s="16"/>
    </row>
    <row r="19" spans="2:7" ht="23" customHeight="1" x14ac:dyDescent="0.2">
      <c r="B19" s="21" t="s">
        <v>14</v>
      </c>
      <c r="C19" s="16"/>
      <c r="D19" s="16"/>
      <c r="E19" s="16"/>
      <c r="F19" s="16"/>
      <c r="G19" s="16"/>
    </row>
    <row r="20" spans="2:7" x14ac:dyDescent="0.2">
      <c r="B20" s="27" t="s">
        <v>15</v>
      </c>
      <c r="C20" s="16"/>
      <c r="D20" s="23" t="s">
        <v>16</v>
      </c>
      <c r="E20" s="16"/>
      <c r="F20" s="16"/>
      <c r="G20" s="16"/>
    </row>
    <row r="21" spans="2:7" x14ac:dyDescent="0.2">
      <c r="B21" s="29" t="s">
        <v>17</v>
      </c>
      <c r="C21" s="16"/>
      <c r="D21" s="23" t="s">
        <v>18</v>
      </c>
      <c r="E21" s="16"/>
      <c r="F21" s="16"/>
      <c r="G21" s="16"/>
    </row>
    <row r="22" spans="2:7" x14ac:dyDescent="0.2">
      <c r="B22" s="28" t="s">
        <v>19</v>
      </c>
      <c r="C22" s="16"/>
      <c r="D22" s="23" t="s">
        <v>20</v>
      </c>
      <c r="E22" s="16"/>
      <c r="F22" s="16"/>
      <c r="G22" s="16"/>
    </row>
    <row r="23" spans="2:7" x14ac:dyDescent="0.2">
      <c r="B23" s="24" t="s">
        <v>21</v>
      </c>
      <c r="C23" s="16"/>
      <c r="D23" s="23" t="s">
        <v>22</v>
      </c>
      <c r="E23" s="16"/>
      <c r="F23" s="16"/>
      <c r="G23" s="16"/>
    </row>
    <row r="25" spans="2:7" ht="23" customHeight="1" x14ac:dyDescent="0.2">
      <c r="B25" s="21" t="s">
        <v>23</v>
      </c>
      <c r="C25" s="16"/>
      <c r="D25" s="16"/>
      <c r="E25" s="16"/>
      <c r="F25" s="16"/>
      <c r="G25" s="16"/>
    </row>
    <row r="26" spans="2:7" x14ac:dyDescent="0.2">
      <c r="B26" s="22" t="s">
        <v>24</v>
      </c>
      <c r="C26" s="16"/>
      <c r="D26" s="16"/>
      <c r="E26" s="16"/>
      <c r="F26" s="16"/>
      <c r="G26" s="16"/>
    </row>
    <row r="27" spans="2:7" x14ac:dyDescent="0.2">
      <c r="B27" s="16"/>
      <c r="C27" s="16"/>
      <c r="D27" s="16"/>
      <c r="E27" s="16"/>
      <c r="F27" s="16"/>
      <c r="G27" s="16"/>
    </row>
  </sheetData>
  <mergeCells count="26">
    <mergeCell ref="A1:H1"/>
    <mergeCell ref="B19:G19"/>
    <mergeCell ref="D23:G23"/>
    <mergeCell ref="B21:C21"/>
    <mergeCell ref="C10:D10"/>
    <mergeCell ref="A3:H3"/>
    <mergeCell ref="A2:H2"/>
    <mergeCell ref="F10:G10"/>
    <mergeCell ref="B14:G14"/>
    <mergeCell ref="B5:G6"/>
    <mergeCell ref="B17:G17"/>
    <mergeCell ref="B8:G8"/>
    <mergeCell ref="B26:G27"/>
    <mergeCell ref="D20:G20"/>
    <mergeCell ref="B23:C23"/>
    <mergeCell ref="C9:D9"/>
    <mergeCell ref="B15:G15"/>
    <mergeCell ref="D22:G22"/>
    <mergeCell ref="D21:G21"/>
    <mergeCell ref="F9:G9"/>
    <mergeCell ref="B25:G25"/>
    <mergeCell ref="B16:G16"/>
    <mergeCell ref="B20:C20"/>
    <mergeCell ref="B12:G12"/>
    <mergeCell ref="B22:C22"/>
    <mergeCell ref="B13:G13"/>
  </mergeCells>
  <hyperlinks>
    <hyperlink ref="B26" r:id="rId1" xr:uid="{00000000-0004-0000-0000-000000000000}"/>
  </hyperlinks>
  <pageMargins left="0.35" right="0.35" top="0.55000000000000004" bottom="0.55000000000000004" header="0.5" footer="0.5"/>
  <pageSetup fitToHeight="0" orientation="landscape"/>
  <headerFooter>
    <oddHeader>&amp;C&amp;9 &amp;K0B2E4FMacroeconomía · 200 FP</oddHeader>
    <oddFooter>&amp;C&amp;8 &amp;K4B5563Laboratorio · Del dato macroeconómico al mercado de un proyecto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97316"/>
    <pageSetUpPr fitToPage="1"/>
  </sheetPr>
  <dimension ref="A1:Q35"/>
  <sheetViews>
    <sheetView showGridLines="0" topLeftCell="F11" zoomScale="130" zoomScaleNormal="130" workbookViewId="0">
      <selection activeCell="K31" sqref="K31"/>
    </sheetView>
  </sheetViews>
  <sheetFormatPr baseColWidth="10" defaultColWidth="8.83203125" defaultRowHeight="15" x14ac:dyDescent="0.2"/>
  <cols>
    <col min="1" max="1" width="31" customWidth="1"/>
    <col min="2" max="6" width="14" customWidth="1"/>
    <col min="7" max="7" width="3" customWidth="1"/>
    <col min="8" max="8" width="22" customWidth="1"/>
    <col min="14" max="14" width="13.6640625" bestFit="1" customWidth="1"/>
    <col min="16" max="16" width="13.6640625" bestFit="1" customWidth="1"/>
    <col min="17" max="17" width="10.1640625" bestFit="1" customWidth="1"/>
  </cols>
  <sheetData>
    <row r="1" spans="1:8" ht="34" customHeight="1" x14ac:dyDescent="0.2">
      <c r="A1" s="15" t="s">
        <v>25</v>
      </c>
      <c r="B1" s="16"/>
      <c r="C1" s="16"/>
      <c r="D1" s="16"/>
      <c r="E1" s="16"/>
      <c r="F1" s="16"/>
      <c r="G1" s="16"/>
      <c r="H1" s="16"/>
    </row>
    <row r="2" spans="1:8" ht="20" customHeight="1" x14ac:dyDescent="0.2">
      <c r="A2" s="20" t="s">
        <v>26</v>
      </c>
      <c r="B2" s="16"/>
      <c r="C2" s="16"/>
      <c r="D2" s="16"/>
      <c r="E2" s="16"/>
      <c r="F2" s="16"/>
      <c r="G2" s="16"/>
      <c r="H2" s="16"/>
    </row>
    <row r="3" spans="1:8" ht="5" customHeight="1" x14ac:dyDescent="0.2">
      <c r="A3" s="19"/>
      <c r="B3" s="16"/>
      <c r="C3" s="16"/>
      <c r="D3" s="16"/>
      <c r="E3" s="16"/>
      <c r="F3" s="16"/>
      <c r="G3" s="16"/>
      <c r="H3" s="16"/>
    </row>
    <row r="5" spans="1:8" x14ac:dyDescent="0.2">
      <c r="A5" s="31" t="s">
        <v>27</v>
      </c>
      <c r="B5" s="16"/>
      <c r="C5" s="16"/>
      <c r="D5" s="16"/>
      <c r="E5" s="16"/>
      <c r="F5" s="16"/>
    </row>
    <row r="6" spans="1:8" x14ac:dyDescent="0.2">
      <c r="B6">
        <f>MATCH($A8,'[1]Equilibrio Oferta-Utilización'!$B$11:$O$11,0)</f>
        <v>1</v>
      </c>
    </row>
    <row r="7" spans="1:8" ht="30" customHeight="1" x14ac:dyDescent="0.2">
      <c r="A7" s="2" t="s">
        <v>28</v>
      </c>
      <c r="B7" s="2">
        <v>2013</v>
      </c>
      <c r="C7" s="2">
        <v>2019</v>
      </c>
      <c r="D7" s="2">
        <v>2020</v>
      </c>
      <c r="E7" s="2" t="s">
        <v>118</v>
      </c>
      <c r="F7" s="2" t="s">
        <v>119</v>
      </c>
    </row>
    <row r="8" spans="1:8" x14ac:dyDescent="0.2">
      <c r="A8" s="1" t="s">
        <v>29</v>
      </c>
      <c r="B8" s="3">
        <f>HLOOKUP(B$7,'[1]Equilibrio Oferta-Utilización'!$D$10:$O$26,MATCH($A8,'[1]Equilibrio Oferta-Utilización'!$B$10:$B$26,0),0)</f>
        <v>1371.7039689999999</v>
      </c>
      <c r="C8" s="3">
        <f>HLOOKUP(C$7,'[1]Equilibrio Oferta-Utilización'!$D$10:$O$26,MATCH($A8,'[1]Equilibrio Oferta-Utilización'!$B$10:$B$26,0),0)</f>
        <v>1396.2169690000001</v>
      </c>
      <c r="D8" s="3">
        <f>HLOOKUP(D$7,'[1]Equilibrio Oferta-Utilización'!$D$10:$O$26,MATCH($A8,'[1]Equilibrio Oferta-Utilización'!$B$10:$B$26,0),0)</f>
        <v>1239.4823409999999</v>
      </c>
      <c r="E8" s="3">
        <f>HLOOKUP(E$7,'[1]Equilibrio Oferta-Utilización'!$D$10:$O$26,MATCH($A8,'[1]Equilibrio Oferta-Utilización'!$B$10:$B$26,0),0)</f>
        <v>1767.3027460000001</v>
      </c>
      <c r="F8" s="3">
        <f>HLOOKUP(F$7,'[1]Equilibrio Oferta-Utilización'!$D$10:$O$26,MATCH($A8,'[1]Equilibrio Oferta-Utilización'!$B$10:$B$26,0),0)</f>
        <v>1867.0315720000001</v>
      </c>
    </row>
    <row r="9" spans="1:8" x14ac:dyDescent="0.2">
      <c r="A9" s="1" t="s">
        <v>30</v>
      </c>
      <c r="B9" s="3">
        <f>HLOOKUP(B$7,'[1]Equilibrio Oferta-Utilización'!$D$10:$O$26,MATCH($A9,'[1]Equilibrio Oferta-Utilización'!$B$10:$B$26,0),0)</f>
        <v>1194.7479390000001</v>
      </c>
      <c r="C9" s="3">
        <f>HLOOKUP(C$7,'[1]Equilibrio Oferta-Utilización'!$D$10:$O$26,MATCH($A9,'[1]Equilibrio Oferta-Utilización'!$B$10:$B$26,0),0)</f>
        <v>1541.3325729999999</v>
      </c>
      <c r="D9" s="3">
        <f>HLOOKUP(D$7,'[1]Equilibrio Oferta-Utilización'!$D$10:$O$26,MATCH($A9,'[1]Equilibrio Oferta-Utilización'!$B$10:$B$26,0),0)</f>
        <v>1148.4220399999999</v>
      </c>
      <c r="E9" s="3">
        <f>HLOOKUP(E$7,'[1]Equilibrio Oferta-Utilización'!$D$10:$O$26,MATCH($A9,'[1]Equilibrio Oferta-Utilización'!$B$10:$B$26,0),0)</f>
        <v>2240.933043</v>
      </c>
      <c r="F9" s="3">
        <f>HLOOKUP(F$7,'[1]Equilibrio Oferta-Utilización'!$D$10:$O$26,MATCH($A9,'[1]Equilibrio Oferta-Utilización'!$B$10:$B$26,0),0)</f>
        <v>2448.2679859999998</v>
      </c>
    </row>
    <row r="10" spans="1:8" x14ac:dyDescent="0.2">
      <c r="A10" s="1" t="s">
        <v>31</v>
      </c>
      <c r="B10" s="3">
        <f>HLOOKUP(B$7,'[1]Equilibrio Oferta-Utilización'!$D$10:$O$26,MATCH($A10,'[1]Equilibrio Oferta-Utilización'!$B$10:$B$26,0),0)</f>
        <v>4989.1613589999997</v>
      </c>
      <c r="C10" s="3">
        <f>HLOOKUP(C$7,'[1]Equilibrio Oferta-Utilización'!$D$10:$O$26,MATCH($A10,'[1]Equilibrio Oferta-Utilización'!$B$10:$B$26,0),0)</f>
        <v>6077.932354999999</v>
      </c>
      <c r="D10" s="3">
        <f>HLOOKUP(D$7,'[1]Equilibrio Oferta-Utilización'!$D$10:$O$26,MATCH($A10,'[1]Equilibrio Oferta-Utilización'!$B$10:$B$26,0),0)</f>
        <v>5037.1176660000001</v>
      </c>
      <c r="E10" s="3">
        <f>HLOOKUP(E$7,'[1]Equilibrio Oferta-Utilización'!$D$10:$O$26,MATCH($A10,'[1]Equilibrio Oferta-Utilización'!$B$10:$B$26,0),0)</f>
        <v>7197.8351860000002</v>
      </c>
      <c r="F10" s="3">
        <f>HLOOKUP(F$7,'[1]Equilibrio Oferta-Utilización'!$D$10:$O$26,MATCH($A10,'[1]Equilibrio Oferta-Utilización'!$B$10:$B$26,0),0)</f>
        <v>7794.133960000001</v>
      </c>
    </row>
    <row r="11" spans="1:8" x14ac:dyDescent="0.2">
      <c r="A11" s="1" t="s">
        <v>32</v>
      </c>
      <c r="B11" s="3">
        <f>HLOOKUP(B$7,'[1]Equilibrio Oferta-Utilización'!$D$10:$O$26,MATCH($A11,'[1]Equilibrio Oferta-Utilización'!$B$10:$B$26,0),0)</f>
        <v>147.291087</v>
      </c>
      <c r="C11" s="3">
        <f>HLOOKUP(C$7,'[1]Equilibrio Oferta-Utilización'!$D$10:$O$26,MATCH($A11,'[1]Equilibrio Oferta-Utilización'!$B$10:$B$26,0),0)</f>
        <v>155.822137</v>
      </c>
      <c r="D11" s="3">
        <f>HLOOKUP(D$7,'[1]Equilibrio Oferta-Utilización'!$D$10:$O$26,MATCH($A11,'[1]Equilibrio Oferta-Utilización'!$B$10:$B$26,0),0)</f>
        <v>136.315427</v>
      </c>
      <c r="E11" s="3">
        <f>HLOOKUP(E$7,'[1]Equilibrio Oferta-Utilización'!$D$10:$O$26,MATCH($A11,'[1]Equilibrio Oferta-Utilización'!$B$10:$B$26,0),0)</f>
        <v>211.12398400000001</v>
      </c>
      <c r="F11" s="3">
        <f>HLOOKUP(F$7,'[1]Equilibrio Oferta-Utilización'!$D$10:$O$26,MATCH($A11,'[1]Equilibrio Oferta-Utilización'!$B$10:$B$26,0),0)</f>
        <v>232.72226800000001</v>
      </c>
    </row>
    <row r="12" spans="1:8" x14ac:dyDescent="0.2">
      <c r="A12" s="1" t="s">
        <v>33</v>
      </c>
      <c r="B12" s="3">
        <f>HLOOKUP(B$7,'[1]Equilibrio Oferta-Utilización'!$D$10:$O$26,MATCH($A12,'[1]Equilibrio Oferta-Utilización'!$B$10:$B$26,0),0)</f>
        <v>4549.2620239999997</v>
      </c>
      <c r="C12" s="3">
        <f>HLOOKUP(C$7,'[1]Equilibrio Oferta-Utilización'!$D$10:$O$26,MATCH($A12,'[1]Equilibrio Oferta-Utilización'!$B$10:$B$26,0),0)</f>
        <v>5655.0098639999997</v>
      </c>
      <c r="D12" s="3">
        <f>HLOOKUP(D$7,'[1]Equilibrio Oferta-Utilización'!$D$10:$O$26,MATCH($A12,'[1]Equilibrio Oferta-Utilización'!$B$10:$B$26,0),0)</f>
        <v>4718.3033960000002</v>
      </c>
      <c r="E12" s="3">
        <f>HLOOKUP(E$7,'[1]Equilibrio Oferta-Utilización'!$D$10:$O$26,MATCH($A12,'[1]Equilibrio Oferta-Utilización'!$B$10:$B$26,0),0)</f>
        <v>6480.7084770000001</v>
      </c>
      <c r="F12" s="3">
        <f>HLOOKUP(F$7,'[1]Equilibrio Oferta-Utilización'!$D$10:$O$26,MATCH($A12,'[1]Equilibrio Oferta-Utilización'!$B$10:$B$26,0),0)</f>
        <v>7052.9348650000002</v>
      </c>
    </row>
    <row r="13" spans="1:8" x14ac:dyDescent="0.2">
      <c r="A13" s="1" t="s">
        <v>34</v>
      </c>
      <c r="B13" s="3">
        <f>HLOOKUP(B$7,'[1]Equilibrio Oferta-Utilización'!$D$10:$O$26,MATCH($A13,'[1]Equilibrio Oferta-Utilización'!$B$10:$B$26,0),0)</f>
        <v>8.5595529999999993</v>
      </c>
      <c r="C13" s="3">
        <f>HLOOKUP(C$7,'[1]Equilibrio Oferta-Utilización'!$D$10:$O$26,MATCH($A13,'[1]Equilibrio Oferta-Utilización'!$B$10:$B$26,0),0)</f>
        <v>27.614329000000001</v>
      </c>
      <c r="D13" s="3">
        <f>HLOOKUP(D$7,'[1]Equilibrio Oferta-Utilización'!$D$10:$O$26,MATCH($A13,'[1]Equilibrio Oferta-Utilización'!$B$10:$B$26,0),0)</f>
        <v>-78.458313000000004</v>
      </c>
      <c r="E13" s="3">
        <f>HLOOKUP(E$7,'[1]Equilibrio Oferta-Utilización'!$D$10:$O$26,MATCH($A13,'[1]Equilibrio Oferta-Utilización'!$B$10:$B$26,0),0)</f>
        <v>76.258981000000006</v>
      </c>
      <c r="F13" s="3">
        <f>HLOOKUP(F$7,'[1]Equilibrio Oferta-Utilización'!$D$10:$O$26,MATCH($A13,'[1]Equilibrio Oferta-Utilización'!$B$10:$B$26,0),0)</f>
        <v>-46.965079000000003</v>
      </c>
    </row>
    <row r="14" spans="1:8" x14ac:dyDescent="0.2">
      <c r="A14" s="1" t="s">
        <v>35</v>
      </c>
      <c r="B14" s="3">
        <f>HLOOKUP(B$7,'[1]Equilibrio Oferta-Utilización'!$D$10:$O$26,MATCH($A14,'[1]Equilibrio Oferta-Utilización'!$B$10:$B$26,0),0)</f>
        <v>284.04869600000001</v>
      </c>
      <c r="C14" s="3">
        <f>HLOOKUP(C$7,'[1]Equilibrio Oferta-Utilización'!$D$10:$O$26,MATCH($A14,'[1]Equilibrio Oferta-Utilización'!$B$10:$B$26,0),0)</f>
        <v>239.48602399999999</v>
      </c>
      <c r="D14" s="3">
        <f>HLOOKUP(D$7,'[1]Equilibrio Oferta-Utilización'!$D$10:$O$26,MATCH($A14,'[1]Equilibrio Oferta-Utilización'!$B$10:$B$26,0),0)</f>
        <v>260.957154</v>
      </c>
      <c r="E14" s="3">
        <f>HLOOKUP(E$7,'[1]Equilibrio Oferta-Utilización'!$D$10:$O$26,MATCH($A14,'[1]Equilibrio Oferta-Utilización'!$B$10:$B$26,0),0)</f>
        <v>429.74374399999999</v>
      </c>
      <c r="F14" s="3">
        <f>HLOOKUP(F$7,'[1]Equilibrio Oferta-Utilización'!$D$10:$O$26,MATCH($A14,'[1]Equilibrio Oferta-Utilización'!$B$10:$B$26,0),0)</f>
        <v>555.44190600000002</v>
      </c>
    </row>
    <row r="15" spans="1:8" x14ac:dyDescent="0.2">
      <c r="A15" s="1" t="s">
        <v>36</v>
      </c>
      <c r="B15" s="3">
        <f>HLOOKUP(B$7,'[1]Equilibrio Oferta-Utilización'!$D$10:$O$26,MATCH($A15,'[1]Equilibrio Oferta-Utilización'!$B$10:$B$26,0),0)</f>
        <v>4989.1613599999991</v>
      </c>
      <c r="C15" s="3">
        <f>HLOOKUP(C$7,'[1]Equilibrio Oferta-Utilización'!$D$10:$O$26,MATCH($A15,'[1]Equilibrio Oferta-Utilización'!$B$10:$B$26,0),0)</f>
        <v>6077.9323539999996</v>
      </c>
      <c r="D15" s="3">
        <f>HLOOKUP(D$7,'[1]Equilibrio Oferta-Utilización'!$D$10:$O$26,MATCH($A15,'[1]Equilibrio Oferta-Utilización'!$B$10:$B$26,0),0)</f>
        <v>5037.1176640000003</v>
      </c>
      <c r="E15" s="3">
        <f>HLOOKUP(E$7,'[1]Equilibrio Oferta-Utilización'!$D$10:$O$26,MATCH($A15,'[1]Equilibrio Oferta-Utilización'!$B$10:$B$26,0),0)</f>
        <v>7197.8351860000002</v>
      </c>
      <c r="F15" s="3">
        <f>HLOOKUP(F$7,'[1]Equilibrio Oferta-Utilización'!$D$10:$O$26,MATCH($A15,'[1]Equilibrio Oferta-Utilización'!$B$10:$B$26,0),0)</f>
        <v>7794.133960000001</v>
      </c>
    </row>
    <row r="18" spans="1:17" ht="23" customHeight="1" x14ac:dyDescent="0.2">
      <c r="A18" s="21" t="s">
        <v>37</v>
      </c>
      <c r="B18" s="16"/>
      <c r="C18" s="16"/>
      <c r="D18" s="16"/>
      <c r="E18" s="16"/>
      <c r="F18" s="16"/>
    </row>
    <row r="19" spans="1:17" x14ac:dyDescent="0.2">
      <c r="A19" s="1" t="s">
        <v>38</v>
      </c>
      <c r="B19" s="4">
        <f>F10</f>
        <v>7794.133960000001</v>
      </c>
    </row>
    <row r="20" spans="1:17" x14ac:dyDescent="0.2">
      <c r="A20" s="1" t="s">
        <v>39</v>
      </c>
      <c r="B20" s="4">
        <f>F15</f>
        <v>7794.133960000001</v>
      </c>
    </row>
    <row r="21" spans="1:17" x14ac:dyDescent="0.2">
      <c r="A21" s="1" t="s">
        <v>40</v>
      </c>
      <c r="B21" s="4">
        <f>B19-B20</f>
        <v>0</v>
      </c>
      <c r="D21" s="1" t="s">
        <v>41</v>
      </c>
      <c r="E21" s="5" t="str">
        <f>IF(ABS(B21)&lt;0.01,"Sí","Revisar datos")</f>
        <v>Sí</v>
      </c>
    </row>
    <row r="24" spans="1:17" ht="36" customHeight="1" x14ac:dyDescent="0.2">
      <c r="A24" s="17" t="s">
        <v>42</v>
      </c>
      <c r="B24" s="16"/>
      <c r="C24" s="16"/>
      <c r="D24" s="16"/>
      <c r="E24" s="16"/>
      <c r="F24" s="16"/>
    </row>
    <row r="25" spans="1:17" ht="24" customHeight="1" x14ac:dyDescent="0.2">
      <c r="A25" s="18"/>
      <c r="B25" s="16"/>
      <c r="C25" s="16"/>
      <c r="D25" s="16"/>
      <c r="E25" s="16"/>
      <c r="F25" s="16"/>
    </row>
    <row r="26" spans="1:17" ht="24" customHeight="1" x14ac:dyDescent="0.2">
      <c r="A26" s="16"/>
      <c r="B26" s="16"/>
      <c r="C26" s="16"/>
      <c r="D26" s="16"/>
      <c r="E26" s="16"/>
      <c r="F26" s="16"/>
    </row>
    <row r="27" spans="1:17" ht="24" customHeight="1" x14ac:dyDescent="0.2">
      <c r="A27" s="16"/>
      <c r="B27" s="16"/>
      <c r="C27" s="16"/>
      <c r="D27" s="16"/>
      <c r="E27" s="16"/>
      <c r="F27" s="16"/>
    </row>
    <row r="28" spans="1:17" ht="24" customHeight="1" x14ac:dyDescent="0.2">
      <c r="A28" s="16"/>
      <c r="B28" s="16"/>
      <c r="C28" s="16"/>
      <c r="D28" s="16"/>
      <c r="E28" s="16"/>
      <c r="F28" s="16"/>
      <c r="N28" s="42">
        <v>15</v>
      </c>
      <c r="P28" s="43">
        <f>N28*1000000</f>
        <v>15000000</v>
      </c>
      <c r="Q28" s="43">
        <f>P28/P29</f>
        <v>37500</v>
      </c>
    </row>
    <row r="29" spans="1:17" x14ac:dyDescent="0.2">
      <c r="P29">
        <v>400</v>
      </c>
    </row>
    <row r="30" spans="1:17" ht="36" customHeight="1" x14ac:dyDescent="0.2">
      <c r="A30" s="17" t="s">
        <v>43</v>
      </c>
      <c r="B30" s="16"/>
      <c r="C30" s="16"/>
      <c r="D30" s="16"/>
      <c r="E30" s="16"/>
      <c r="F30" s="16"/>
    </row>
    <row r="31" spans="1:17" ht="24" customHeight="1" x14ac:dyDescent="0.2">
      <c r="A31" s="18"/>
      <c r="B31" s="16"/>
      <c r="C31" s="16"/>
      <c r="D31" s="16"/>
      <c r="E31" s="16"/>
      <c r="F31" s="16"/>
      <c r="K31" s="44" t="s">
        <v>120</v>
      </c>
      <c r="L31" t="s">
        <v>121</v>
      </c>
      <c r="N31" t="s">
        <v>123</v>
      </c>
    </row>
    <row r="32" spans="1:17" ht="24" customHeight="1" x14ac:dyDescent="0.2">
      <c r="A32" s="16"/>
      <c r="B32" s="16"/>
      <c r="C32" s="16"/>
      <c r="D32" s="16"/>
      <c r="E32" s="16"/>
      <c r="F32" s="16"/>
      <c r="K32" t="s">
        <v>122</v>
      </c>
    </row>
    <row r="33" spans="1:6" ht="24" customHeight="1" x14ac:dyDescent="0.2">
      <c r="A33" s="16"/>
      <c r="B33" s="16"/>
      <c r="C33" s="16"/>
      <c r="D33" s="16"/>
      <c r="E33" s="16"/>
      <c r="F33" s="16"/>
    </row>
    <row r="34" spans="1:6" ht="24" customHeight="1" x14ac:dyDescent="0.2">
      <c r="A34" s="16"/>
      <c r="B34" s="16"/>
      <c r="C34" s="16"/>
      <c r="D34" s="16"/>
      <c r="E34" s="16"/>
      <c r="F34" s="16"/>
    </row>
    <row r="35" spans="1:6" ht="24" customHeight="1" x14ac:dyDescent="0.2">
      <c r="A35" s="16"/>
      <c r="B35" s="16"/>
      <c r="C35" s="16"/>
      <c r="D35" s="16"/>
      <c r="E35" s="16"/>
      <c r="F35" s="16"/>
    </row>
  </sheetData>
  <mergeCells count="9">
    <mergeCell ref="A31:F35"/>
    <mergeCell ref="A18:F18"/>
    <mergeCell ref="A1:H1"/>
    <mergeCell ref="A30:F30"/>
    <mergeCell ref="A24:F24"/>
    <mergeCell ref="A3:H3"/>
    <mergeCell ref="A25:F28"/>
    <mergeCell ref="A2:H2"/>
    <mergeCell ref="A5:F5"/>
  </mergeCells>
  <pageMargins left="0.35" right="0.35" top="0.55000000000000004" bottom="0.55000000000000004" header="0.5" footer="0.5"/>
  <pageSetup fitToHeight="0" orientation="landscape"/>
  <headerFooter>
    <oddHeader>&amp;C&amp;9 &amp;K0B2E4FMacroeconomía · 200 FP</oddHeader>
    <oddFooter>&amp;C&amp;8 &amp;K4B5563Laboratorio · Del dato macroeconómico al mercado de un proyecto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64873"/>
    <pageSetUpPr fitToPage="1"/>
  </sheetPr>
  <dimension ref="A1:I41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B11" sqref="B11"/>
    </sheetView>
  </sheetViews>
  <sheetFormatPr baseColWidth="10" defaultColWidth="8.83203125" defaultRowHeight="15" x14ac:dyDescent="0.2"/>
  <cols>
    <col min="1" max="1" width="13" customWidth="1"/>
    <col min="2" max="2" width="25" customWidth="1"/>
    <col min="3" max="3" width="18" customWidth="1"/>
    <col min="4" max="4" width="4" customWidth="1"/>
    <col min="5" max="8" width="19" customWidth="1"/>
    <col min="9" max="9" width="4" customWidth="1"/>
  </cols>
  <sheetData>
    <row r="1" spans="1:9" ht="34" customHeight="1" x14ac:dyDescent="0.2">
      <c r="A1" s="15" t="s">
        <v>44</v>
      </c>
      <c r="B1" s="16"/>
      <c r="C1" s="16"/>
      <c r="D1" s="16"/>
      <c r="E1" s="16"/>
      <c r="F1" s="16"/>
      <c r="G1" s="16"/>
      <c r="H1" s="16"/>
      <c r="I1" s="16"/>
    </row>
    <row r="2" spans="1:9" ht="20" customHeight="1" x14ac:dyDescent="0.2">
      <c r="A2" s="20" t="s">
        <v>45</v>
      </c>
      <c r="B2" s="16"/>
      <c r="C2" s="16"/>
      <c r="D2" s="16"/>
      <c r="E2" s="16"/>
      <c r="F2" s="16"/>
      <c r="G2" s="16"/>
      <c r="H2" s="16"/>
      <c r="I2" s="16"/>
    </row>
    <row r="3" spans="1:9" ht="5" customHeight="1" x14ac:dyDescent="0.2">
      <c r="A3" s="19"/>
      <c r="B3" s="16"/>
      <c r="C3" s="16"/>
      <c r="D3" s="16"/>
      <c r="E3" s="16"/>
      <c r="F3" s="16"/>
      <c r="G3" s="16"/>
      <c r="H3" s="16"/>
      <c r="I3" s="16"/>
    </row>
    <row r="7" spans="1:9" ht="30" customHeight="1" x14ac:dyDescent="0.2">
      <c r="A7" s="2" t="s">
        <v>46</v>
      </c>
      <c r="B7" s="2" t="s">
        <v>47</v>
      </c>
      <c r="C7" s="2" t="s">
        <v>48</v>
      </c>
    </row>
    <row r="8" spans="1:9" x14ac:dyDescent="0.2">
      <c r="A8" s="6">
        <v>2013</v>
      </c>
      <c r="B8" s="4">
        <f>Etapa1_Datos!B12</f>
        <v>4549.2620239999997</v>
      </c>
    </row>
    <row r="9" spans="1:9" x14ac:dyDescent="0.2">
      <c r="A9" s="6">
        <v>2014</v>
      </c>
      <c r="B9" s="3">
        <v>4828.8815000000004</v>
      </c>
      <c r="C9" s="7">
        <f t="shared" ref="C9:C19" si="0">IF(OR(B9="",B8=""),"",B9/B8-1)</f>
        <v>6.1464799021213823E-2</v>
      </c>
    </row>
    <row r="10" spans="1:9" x14ac:dyDescent="0.2">
      <c r="A10" s="6">
        <v>2015</v>
      </c>
      <c r="B10" s="3">
        <v>5085.5368699999999</v>
      </c>
      <c r="C10" s="7">
        <f t="shared" si="0"/>
        <v>5.3150065910708255E-2</v>
      </c>
    </row>
    <row r="11" spans="1:9" x14ac:dyDescent="0.2">
      <c r="A11" s="6">
        <v>2016</v>
      </c>
      <c r="B11" s="3">
        <v>5247.8107449999998</v>
      </c>
      <c r="C11" s="7">
        <f t="shared" si="0"/>
        <v>3.1908897555588789E-2</v>
      </c>
    </row>
    <row r="12" spans="1:9" x14ac:dyDescent="0.2">
      <c r="A12" s="6">
        <v>2017</v>
      </c>
      <c r="B12" s="3">
        <v>5348.2194939999999</v>
      </c>
      <c r="C12" s="7">
        <f t="shared" si="0"/>
        <v>1.9133454668819327E-2</v>
      </c>
    </row>
    <row r="13" spans="1:9" x14ac:dyDescent="0.2">
      <c r="A13" s="6">
        <v>2018</v>
      </c>
      <c r="B13" s="3">
        <v>5541.2927589999999</v>
      </c>
      <c r="C13" s="7">
        <f t="shared" si="0"/>
        <v>3.6100475161238821E-2</v>
      </c>
    </row>
    <row r="14" spans="1:9" x14ac:dyDescent="0.2">
      <c r="A14" s="6">
        <v>2019</v>
      </c>
      <c r="B14" s="4">
        <f>Etapa1_Datos!C12</f>
        <v>5655.0098639999997</v>
      </c>
      <c r="C14" s="7">
        <f t="shared" si="0"/>
        <v>2.0521764495352368E-2</v>
      </c>
    </row>
    <row r="15" spans="1:9" x14ac:dyDescent="0.2">
      <c r="A15" s="6">
        <v>2020</v>
      </c>
      <c r="B15" s="4">
        <f>Etapa1_Datos!D12</f>
        <v>4718.3033960000002</v>
      </c>
      <c r="C15" s="7">
        <f t="shared" si="0"/>
        <v>-0.16564188047895501</v>
      </c>
    </row>
    <row r="16" spans="1:9" x14ac:dyDescent="0.2">
      <c r="A16" s="6">
        <v>2021</v>
      </c>
      <c r="B16" s="3">
        <v>5492.1077130000003</v>
      </c>
      <c r="C16" s="7">
        <f t="shared" si="0"/>
        <v>0.16400054257977614</v>
      </c>
    </row>
    <row r="17" spans="1:8" x14ac:dyDescent="0.2">
      <c r="A17" s="6">
        <v>2022</v>
      </c>
      <c r="B17" s="3">
        <v>6063.1149320000004</v>
      </c>
      <c r="C17" s="7">
        <f t="shared" si="0"/>
        <v>0.10396868540076287</v>
      </c>
    </row>
    <row r="18" spans="1:8" x14ac:dyDescent="0.2">
      <c r="A18" s="6">
        <v>2023</v>
      </c>
      <c r="B18" s="4">
        <f>Etapa1_Datos!E12</f>
        <v>6480.7084770000001</v>
      </c>
      <c r="C18" s="7">
        <f t="shared" si="0"/>
        <v>6.887442340834049E-2</v>
      </c>
    </row>
    <row r="19" spans="1:8" x14ac:dyDescent="0.2">
      <c r="A19" s="6">
        <v>2024</v>
      </c>
      <c r="B19" s="4">
        <f>Etapa1_Datos!F12</f>
        <v>7052.9348650000002</v>
      </c>
      <c r="C19" s="7">
        <f t="shared" si="0"/>
        <v>8.8296887605858076E-2</v>
      </c>
    </row>
    <row r="22" spans="1:8" ht="23" customHeight="1" x14ac:dyDescent="0.2">
      <c r="A22" s="21" t="s">
        <v>49</v>
      </c>
      <c r="B22" s="16"/>
      <c r="C22" s="16"/>
    </row>
    <row r="23" spans="1:8" ht="30" x14ac:dyDescent="0.2">
      <c r="A23" s="1" t="s">
        <v>50</v>
      </c>
      <c r="B23" s="7">
        <f>IF(OR(B14="",B15=""),"",B15/B14-1)</f>
        <v>-0.16564188047895501</v>
      </c>
    </row>
    <row r="24" spans="1:8" ht="30" x14ac:dyDescent="0.2">
      <c r="A24" s="1" t="s">
        <v>51</v>
      </c>
      <c r="B24" s="7">
        <f>IF(OR(B15="",B16=""),"",B16/B15-1)</f>
        <v>0.16400054257977614</v>
      </c>
    </row>
    <row r="25" spans="1:8" ht="30" x14ac:dyDescent="0.2">
      <c r="A25" s="1" t="s">
        <v>52</v>
      </c>
      <c r="B25" s="7">
        <f>IF(OR(B18="",B19=""),"",B19/B18-1)</f>
        <v>8.8296887605858076E-2</v>
      </c>
    </row>
    <row r="26" spans="1:8" ht="30" x14ac:dyDescent="0.2">
      <c r="A26" s="1" t="s">
        <v>53</v>
      </c>
      <c r="B26" s="7">
        <f>IF(OR(B8="",B19=""),"",(B19/B8)^(1/11)-1)</f>
        <v>4.0666849081257617E-2</v>
      </c>
    </row>
    <row r="29" spans="1:8" ht="36" customHeight="1" x14ac:dyDescent="0.2">
      <c r="A29" s="17" t="s">
        <v>54</v>
      </c>
      <c r="B29" s="16"/>
      <c r="C29" s="16"/>
      <c r="D29" s="16"/>
      <c r="E29" s="16"/>
      <c r="F29" s="16"/>
      <c r="G29" s="16"/>
      <c r="H29" s="16"/>
    </row>
    <row r="30" spans="1:8" ht="24" customHeight="1" x14ac:dyDescent="0.2">
      <c r="A30" s="18"/>
      <c r="B30" s="16"/>
      <c r="C30" s="16"/>
      <c r="D30" s="16"/>
      <c r="E30" s="16"/>
      <c r="F30" s="16"/>
      <c r="G30" s="16"/>
      <c r="H30" s="16"/>
    </row>
    <row r="31" spans="1:8" ht="24" customHeight="1" x14ac:dyDescent="0.2">
      <c r="A31" s="16"/>
      <c r="B31" s="16"/>
      <c r="C31" s="16"/>
      <c r="D31" s="16"/>
      <c r="E31" s="16"/>
      <c r="F31" s="16"/>
      <c r="G31" s="16"/>
      <c r="H31" s="16"/>
    </row>
    <row r="32" spans="1:8" ht="24" customHeight="1" x14ac:dyDescent="0.2">
      <c r="A32" s="16"/>
      <c r="B32" s="16"/>
      <c r="C32" s="16"/>
      <c r="D32" s="16"/>
      <c r="E32" s="16"/>
      <c r="F32" s="16"/>
      <c r="G32" s="16"/>
      <c r="H32" s="16"/>
    </row>
    <row r="33" spans="1:8" ht="24" customHeight="1" x14ac:dyDescent="0.2">
      <c r="A33" s="16"/>
      <c r="B33" s="16"/>
      <c r="C33" s="16"/>
      <c r="D33" s="16"/>
      <c r="E33" s="16"/>
      <c r="F33" s="16"/>
      <c r="G33" s="16"/>
      <c r="H33" s="16"/>
    </row>
    <row r="34" spans="1:8" ht="24" customHeight="1" x14ac:dyDescent="0.2">
      <c r="A34" s="16"/>
      <c r="B34" s="16"/>
      <c r="C34" s="16"/>
      <c r="D34" s="16"/>
      <c r="E34" s="16"/>
      <c r="F34" s="16"/>
      <c r="G34" s="16"/>
      <c r="H34" s="16"/>
    </row>
    <row r="36" spans="1:8" ht="36" customHeight="1" x14ac:dyDescent="0.2">
      <c r="A36" s="17" t="s">
        <v>55</v>
      </c>
      <c r="B36" s="16"/>
      <c r="C36" s="16"/>
      <c r="D36" s="16"/>
      <c r="E36" s="16"/>
      <c r="F36" s="16"/>
      <c r="G36" s="16"/>
      <c r="H36" s="16"/>
    </row>
    <row r="37" spans="1:8" ht="24" customHeight="1" x14ac:dyDescent="0.2">
      <c r="A37" s="18"/>
      <c r="B37" s="16"/>
      <c r="C37" s="16"/>
      <c r="D37" s="16"/>
      <c r="E37" s="16"/>
      <c r="F37" s="16"/>
      <c r="G37" s="16"/>
      <c r="H37" s="16"/>
    </row>
    <row r="38" spans="1:8" ht="24" customHeight="1" x14ac:dyDescent="0.2">
      <c r="A38" s="16"/>
      <c r="B38" s="16"/>
      <c r="C38" s="16"/>
      <c r="D38" s="16"/>
      <c r="E38" s="16"/>
      <c r="F38" s="16"/>
      <c r="G38" s="16"/>
      <c r="H38" s="16"/>
    </row>
    <row r="39" spans="1:8" ht="24" customHeight="1" x14ac:dyDescent="0.2">
      <c r="A39" s="16"/>
      <c r="B39" s="16"/>
      <c r="C39" s="16"/>
      <c r="D39" s="16"/>
      <c r="E39" s="16"/>
      <c r="F39" s="16"/>
      <c r="G39" s="16"/>
      <c r="H39" s="16"/>
    </row>
    <row r="40" spans="1:8" ht="24" customHeight="1" x14ac:dyDescent="0.2">
      <c r="A40" s="16"/>
      <c r="B40" s="16"/>
      <c r="C40" s="16"/>
      <c r="D40" s="16"/>
      <c r="E40" s="16"/>
      <c r="F40" s="16"/>
      <c r="G40" s="16"/>
      <c r="H40" s="16"/>
    </row>
    <row r="41" spans="1:8" ht="24" customHeight="1" x14ac:dyDescent="0.2">
      <c r="A41" s="16"/>
      <c r="B41" s="16"/>
      <c r="C41" s="16"/>
      <c r="D41" s="16"/>
      <c r="E41" s="16"/>
      <c r="F41" s="16"/>
      <c r="G41" s="16"/>
      <c r="H41" s="16"/>
    </row>
  </sheetData>
  <mergeCells count="8">
    <mergeCell ref="A1:I1"/>
    <mergeCell ref="A36:H36"/>
    <mergeCell ref="A37:H41"/>
    <mergeCell ref="A3:I3"/>
    <mergeCell ref="A30:H34"/>
    <mergeCell ref="A2:I2"/>
    <mergeCell ref="A29:H29"/>
    <mergeCell ref="A22:C22"/>
  </mergeCells>
  <pageMargins left="0.35" right="0.35" top="0.55000000000000004" bottom="0.55000000000000004" header="0.5" footer="0.5"/>
  <pageSetup fitToHeight="0" orientation="landscape"/>
  <headerFooter>
    <oddHeader>&amp;C&amp;9 &amp;K0B2E4FMacroeconomía · 200 FP</oddHeader>
    <oddFooter>&amp;C&amp;8 &amp;K4B5563Laboratorio · Del dato macroeconómico al mercado de un proyecto</oddFooter>
  </headerFooter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97316"/>
    <pageSetUpPr fitToPage="1"/>
  </sheetPr>
  <dimension ref="A1:H35"/>
  <sheetViews>
    <sheetView showGridLines="0" workbookViewId="0">
      <pane ySplit="5" topLeftCell="A6" activePane="bottomLeft" state="frozen"/>
      <selection pane="bottomLeft" activeCell="B19" sqref="B19"/>
    </sheetView>
  </sheetViews>
  <sheetFormatPr baseColWidth="10" defaultColWidth="8.83203125" defaultRowHeight="15" x14ac:dyDescent="0.2"/>
  <cols>
    <col min="1" max="1" width="37" customWidth="1"/>
    <col min="2" max="2" width="17" customWidth="1"/>
    <col min="3" max="3" width="19" customWidth="1"/>
    <col min="4" max="4" width="29" customWidth="1"/>
    <col min="5" max="5" width="4" customWidth="1"/>
    <col min="6" max="7" width="25" customWidth="1"/>
    <col min="8" max="8" width="4" customWidth="1"/>
  </cols>
  <sheetData>
    <row r="1" spans="1:8" ht="34" customHeight="1" x14ac:dyDescent="0.2">
      <c r="A1" s="15" t="s">
        <v>56</v>
      </c>
      <c r="B1" s="16"/>
      <c r="C1" s="16"/>
      <c r="D1" s="16"/>
      <c r="E1" s="16"/>
      <c r="F1" s="16"/>
      <c r="G1" s="16"/>
      <c r="H1" s="16"/>
    </row>
    <row r="2" spans="1:8" ht="20" customHeight="1" x14ac:dyDescent="0.2">
      <c r="A2" s="20" t="s">
        <v>57</v>
      </c>
      <c r="B2" s="16"/>
      <c r="C2" s="16"/>
      <c r="D2" s="16"/>
      <c r="E2" s="16"/>
      <c r="F2" s="16"/>
      <c r="G2" s="16"/>
      <c r="H2" s="16"/>
    </row>
    <row r="3" spans="1:8" ht="5" customHeight="1" x14ac:dyDescent="0.2">
      <c r="A3" s="19"/>
      <c r="B3" s="16"/>
      <c r="C3" s="16"/>
      <c r="D3" s="16"/>
      <c r="E3" s="16"/>
      <c r="F3" s="16"/>
      <c r="G3" s="16"/>
      <c r="H3" s="16"/>
    </row>
    <row r="6" spans="1:8" ht="23" customHeight="1" x14ac:dyDescent="0.2">
      <c r="A6" s="21" t="s">
        <v>58</v>
      </c>
      <c r="B6" s="16"/>
      <c r="C6" s="16"/>
      <c r="D6" s="16"/>
    </row>
    <row r="7" spans="1:8" ht="30" x14ac:dyDescent="0.2">
      <c r="A7" s="1" t="s">
        <v>59</v>
      </c>
      <c r="B7" s="8">
        <v>0.3</v>
      </c>
      <c r="C7" s="32" t="s">
        <v>60</v>
      </c>
      <c r="D7" s="16"/>
      <c r="F7" s="33" t="s">
        <v>61</v>
      </c>
      <c r="G7" s="16"/>
    </row>
    <row r="8" spans="1:8" x14ac:dyDescent="0.2">
      <c r="A8" s="1" t="s">
        <v>62</v>
      </c>
      <c r="B8" s="8">
        <v>0.25</v>
      </c>
      <c r="C8" s="32" t="s">
        <v>60</v>
      </c>
      <c r="D8" s="16"/>
      <c r="F8" s="16"/>
      <c r="G8" s="16"/>
    </row>
    <row r="9" spans="1:8" ht="18" x14ac:dyDescent="0.25">
      <c r="A9" s="1" t="s">
        <v>63</v>
      </c>
      <c r="B9" s="9">
        <v>420</v>
      </c>
      <c r="C9" s="32" t="s">
        <v>60</v>
      </c>
      <c r="D9" s="16"/>
      <c r="F9" s="35">
        <f>B17</f>
        <v>7052.9348650000002</v>
      </c>
      <c r="G9" s="16"/>
    </row>
    <row r="10" spans="1:8" x14ac:dyDescent="0.2">
      <c r="A10" s="1" t="s">
        <v>64</v>
      </c>
      <c r="B10" s="8">
        <v>1.4999999999999999E-2</v>
      </c>
      <c r="C10" s="32" t="s">
        <v>60</v>
      </c>
      <c r="D10" s="16"/>
    </row>
    <row r="11" spans="1:8" x14ac:dyDescent="0.2">
      <c r="A11" s="1" t="s">
        <v>65</v>
      </c>
      <c r="B11" s="8">
        <v>0.02</v>
      </c>
      <c r="C11" s="32" t="s">
        <v>60</v>
      </c>
      <c r="D11" s="16"/>
      <c r="F11" s="37" t="s">
        <v>66</v>
      </c>
      <c r="G11" s="16"/>
    </row>
    <row r="12" spans="1:8" x14ac:dyDescent="0.2">
      <c r="A12" s="1" t="s">
        <v>67</v>
      </c>
      <c r="B12" s="8">
        <v>0.03</v>
      </c>
      <c r="C12" s="32" t="s">
        <v>60</v>
      </c>
      <c r="D12" s="16"/>
      <c r="F12" s="16"/>
      <c r="G12" s="16"/>
    </row>
    <row r="13" spans="1:8" ht="18" x14ac:dyDescent="0.25">
      <c r="A13" s="1" t="s">
        <v>68</v>
      </c>
      <c r="B13" s="10">
        <v>30000</v>
      </c>
      <c r="C13" s="32" t="s">
        <v>60</v>
      </c>
      <c r="D13" s="16"/>
      <c r="F13" s="35">
        <f>B18</f>
        <v>2115.8804595000001</v>
      </c>
      <c r="G13" s="16"/>
    </row>
    <row r="15" spans="1:8" x14ac:dyDescent="0.2">
      <c r="F15" s="34" t="s">
        <v>69</v>
      </c>
      <c r="G15" s="16"/>
    </row>
    <row r="16" spans="1:8" ht="23" customHeight="1" x14ac:dyDescent="0.2">
      <c r="A16" s="21" t="s">
        <v>70</v>
      </c>
      <c r="B16" s="16"/>
      <c r="C16" s="16"/>
      <c r="D16" s="16"/>
      <c r="F16" s="16"/>
      <c r="G16" s="16"/>
    </row>
    <row r="17" spans="1:7" ht="18" x14ac:dyDescent="0.25">
      <c r="A17" s="1" t="s">
        <v>71</v>
      </c>
      <c r="B17" s="4">
        <f>Etapa1_Datos!F12</f>
        <v>7052.9348650000002</v>
      </c>
      <c r="C17" s="36" t="s">
        <v>72</v>
      </c>
      <c r="D17" s="16"/>
      <c r="F17" s="35">
        <f>B19</f>
        <v>528.97011487500004</v>
      </c>
      <c r="G17" s="16"/>
    </row>
    <row r="18" spans="1:7" x14ac:dyDescent="0.2">
      <c r="A18" s="1" t="s">
        <v>73</v>
      </c>
      <c r="B18" s="4">
        <f>B17*B7</f>
        <v>2115.8804595000001</v>
      </c>
      <c r="C18" s="36" t="s">
        <v>74</v>
      </c>
      <c r="D18" s="16"/>
    </row>
    <row r="19" spans="1:7" x14ac:dyDescent="0.2">
      <c r="A19" s="1" t="s">
        <v>75</v>
      </c>
      <c r="B19" s="4">
        <f>B18*B8</f>
        <v>528.97011487500004</v>
      </c>
      <c r="C19" s="36" t="s">
        <v>76</v>
      </c>
      <c r="D19" s="16"/>
    </row>
    <row r="23" spans="1:7" ht="36" customHeight="1" x14ac:dyDescent="0.2">
      <c r="A23" s="17" t="s">
        <v>77</v>
      </c>
      <c r="B23" s="16"/>
      <c r="C23" s="16"/>
      <c r="D23" s="16"/>
      <c r="E23" s="16"/>
      <c r="F23" s="16"/>
      <c r="G23" s="16"/>
    </row>
    <row r="24" spans="1:7" ht="24" customHeight="1" x14ac:dyDescent="0.2">
      <c r="A24" s="18"/>
      <c r="B24" s="16"/>
      <c r="C24" s="16"/>
      <c r="D24" s="16"/>
      <c r="E24" s="16"/>
      <c r="F24" s="16"/>
      <c r="G24" s="16"/>
    </row>
    <row r="25" spans="1:7" ht="24" customHeight="1" x14ac:dyDescent="0.2">
      <c r="A25" s="16"/>
      <c r="B25" s="16"/>
      <c r="C25" s="16"/>
      <c r="D25" s="16"/>
      <c r="E25" s="16"/>
      <c r="F25" s="16"/>
      <c r="G25" s="16"/>
    </row>
    <row r="26" spans="1:7" ht="24" customHeight="1" x14ac:dyDescent="0.2">
      <c r="A26" s="16"/>
      <c r="B26" s="16"/>
      <c r="C26" s="16"/>
      <c r="D26" s="16"/>
      <c r="E26" s="16"/>
      <c r="F26" s="16"/>
      <c r="G26" s="16"/>
    </row>
    <row r="27" spans="1:7" ht="24" customHeight="1" x14ac:dyDescent="0.2">
      <c r="A27" s="16"/>
      <c r="B27" s="16"/>
      <c r="C27" s="16"/>
      <c r="D27" s="16"/>
      <c r="E27" s="16"/>
      <c r="F27" s="16"/>
      <c r="G27" s="16"/>
    </row>
    <row r="28" spans="1:7" ht="24" customHeight="1" x14ac:dyDescent="0.2">
      <c r="A28" s="16"/>
      <c r="B28" s="16"/>
      <c r="C28" s="16"/>
      <c r="D28" s="16"/>
      <c r="E28" s="16"/>
      <c r="F28" s="16"/>
      <c r="G28" s="16"/>
    </row>
    <row r="29" spans="1:7" ht="24" customHeight="1" x14ac:dyDescent="0.2">
      <c r="A29" s="16"/>
      <c r="B29" s="16"/>
      <c r="C29" s="16"/>
      <c r="D29" s="16"/>
      <c r="E29" s="16"/>
      <c r="F29" s="16"/>
      <c r="G29" s="16"/>
    </row>
    <row r="31" spans="1:7" ht="36" customHeight="1" x14ac:dyDescent="0.2">
      <c r="A31" s="17" t="s">
        <v>78</v>
      </c>
      <c r="B31" s="16"/>
      <c r="C31" s="16"/>
      <c r="D31" s="16"/>
      <c r="E31" s="16"/>
      <c r="F31" s="16"/>
      <c r="G31" s="16"/>
    </row>
    <row r="32" spans="1:7" ht="24" customHeight="1" x14ac:dyDescent="0.2">
      <c r="A32" s="18"/>
      <c r="B32" s="16"/>
      <c r="C32" s="16"/>
      <c r="D32" s="16"/>
      <c r="E32" s="16"/>
      <c r="F32" s="16"/>
      <c r="G32" s="16"/>
    </row>
    <row r="33" spans="1:7" ht="24" customHeight="1" x14ac:dyDescent="0.2">
      <c r="A33" s="16"/>
      <c r="B33" s="16"/>
      <c r="C33" s="16"/>
      <c r="D33" s="16"/>
      <c r="E33" s="16"/>
      <c r="F33" s="16"/>
      <c r="G33" s="16"/>
    </row>
    <row r="34" spans="1:7" ht="24" customHeight="1" x14ac:dyDescent="0.2">
      <c r="A34" s="16"/>
      <c r="B34" s="16"/>
      <c r="C34" s="16"/>
      <c r="D34" s="16"/>
      <c r="E34" s="16"/>
      <c r="F34" s="16"/>
      <c r="G34" s="16"/>
    </row>
    <row r="35" spans="1:7" ht="24" customHeight="1" x14ac:dyDescent="0.2">
      <c r="A35" s="16"/>
      <c r="B35" s="16"/>
      <c r="C35" s="16"/>
      <c r="D35" s="16"/>
      <c r="E35" s="16"/>
      <c r="F35" s="16"/>
      <c r="G35" s="16"/>
    </row>
  </sheetData>
  <mergeCells count="25">
    <mergeCell ref="A1:H1"/>
    <mergeCell ref="C10:D10"/>
    <mergeCell ref="A31:G31"/>
    <mergeCell ref="F11:G12"/>
    <mergeCell ref="C9:D9"/>
    <mergeCell ref="F17:G17"/>
    <mergeCell ref="C12:D12"/>
    <mergeCell ref="A3:H3"/>
    <mergeCell ref="A6:D6"/>
    <mergeCell ref="A32:G35"/>
    <mergeCell ref="C11:D11"/>
    <mergeCell ref="A2:H2"/>
    <mergeCell ref="F7:G8"/>
    <mergeCell ref="F15:G16"/>
    <mergeCell ref="A16:D16"/>
    <mergeCell ref="F13:G13"/>
    <mergeCell ref="C17:D17"/>
    <mergeCell ref="F9:G9"/>
    <mergeCell ref="C8:D8"/>
    <mergeCell ref="C7:D7"/>
    <mergeCell ref="C19:D19"/>
    <mergeCell ref="C13:D13"/>
    <mergeCell ref="C18:D18"/>
    <mergeCell ref="A23:G23"/>
    <mergeCell ref="A24:G29"/>
  </mergeCells>
  <pageMargins left="0.35" right="0.35" top="0.55000000000000004" bottom="0.55000000000000004" header="0.5" footer="0.5"/>
  <pageSetup fitToHeight="0" orientation="landscape"/>
  <headerFooter>
    <oddHeader>&amp;C&amp;9 &amp;K0B2E4FMacroeconomía · 200 FP</oddHeader>
    <oddFooter>&amp;C&amp;8 &amp;K4B5563Laboratorio · Del dato macroeconómico al mercado de un proyecto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64873"/>
    <pageSetUpPr fitToPage="1"/>
  </sheetPr>
  <dimension ref="A1:H30"/>
  <sheetViews>
    <sheetView showGridLines="0" workbookViewId="0">
      <pane ySplit="6" topLeftCell="A7" activePane="bottomLeft" state="frozen"/>
      <selection pane="bottomLeft" activeCell="D8" sqref="D8"/>
    </sheetView>
  </sheetViews>
  <sheetFormatPr baseColWidth="10" defaultColWidth="8.83203125" defaultRowHeight="15" x14ac:dyDescent="0.2"/>
  <cols>
    <col min="1" max="1" width="22" customWidth="1"/>
    <col min="2" max="2" width="14" customWidth="1"/>
    <col min="3" max="3" width="25" customWidth="1"/>
    <col min="4" max="4" width="22" customWidth="1"/>
    <col min="5" max="5" width="4" customWidth="1"/>
    <col min="6" max="7" width="24" customWidth="1"/>
    <col min="8" max="8" width="4" customWidth="1"/>
  </cols>
  <sheetData>
    <row r="1" spans="1:8" ht="34" customHeight="1" x14ac:dyDescent="0.2">
      <c r="A1" s="15" t="s">
        <v>79</v>
      </c>
      <c r="B1" s="16"/>
      <c r="C1" s="16"/>
      <c r="D1" s="16"/>
      <c r="E1" s="16"/>
      <c r="F1" s="16"/>
      <c r="G1" s="16"/>
      <c r="H1" s="16"/>
    </row>
    <row r="2" spans="1:8" ht="20" customHeight="1" x14ac:dyDescent="0.2">
      <c r="A2" s="20" t="s">
        <v>80</v>
      </c>
      <c r="B2" s="16"/>
      <c r="C2" s="16"/>
      <c r="D2" s="16"/>
      <c r="E2" s="16"/>
      <c r="F2" s="16"/>
      <c r="G2" s="16"/>
      <c r="H2" s="16"/>
    </row>
    <row r="3" spans="1:8" ht="5" customHeight="1" x14ac:dyDescent="0.2">
      <c r="A3" s="19"/>
      <c r="B3" s="16"/>
      <c r="C3" s="16"/>
      <c r="D3" s="16"/>
      <c r="E3" s="16"/>
      <c r="F3" s="16"/>
      <c r="G3" s="16"/>
      <c r="H3" s="16"/>
    </row>
    <row r="7" spans="1:8" ht="30" customHeight="1" x14ac:dyDescent="0.2">
      <c r="A7" s="2" t="s">
        <v>81</v>
      </c>
      <c r="B7" s="2" t="s">
        <v>82</v>
      </c>
      <c r="C7" s="2" t="s">
        <v>83</v>
      </c>
      <c r="D7" s="2" t="s">
        <v>84</v>
      </c>
    </row>
    <row r="8" spans="1:8" x14ac:dyDescent="0.2">
      <c r="A8" s="1" t="s">
        <v>85</v>
      </c>
      <c r="B8" s="11">
        <f>Etapa3_Mercado!B10</f>
        <v>1.4999999999999999E-2</v>
      </c>
      <c r="C8" s="4">
        <f>Etapa3_Mercado!$B$19*B8</f>
        <v>7.9345517231250007</v>
      </c>
      <c r="D8" s="12">
        <f>IF(C8="","",C8*1000000/Etapa3_Mercado!B9)</f>
        <v>18891.789816964287</v>
      </c>
    </row>
    <row r="9" spans="1:8" x14ac:dyDescent="0.2">
      <c r="A9" s="1" t="s">
        <v>86</v>
      </c>
      <c r="B9" s="11">
        <f>Etapa3_Mercado!B11</f>
        <v>0.02</v>
      </c>
      <c r="C9" s="4">
        <f>Etapa3_Mercado!B19*B9</f>
        <v>10.579402297500001</v>
      </c>
      <c r="D9" s="12">
        <f>IF(C9="","",C9*1000000/Etapa3_Mercado!B9)</f>
        <v>25189.053089285717</v>
      </c>
    </row>
    <row r="10" spans="1:8" x14ac:dyDescent="0.2">
      <c r="A10" s="1" t="s">
        <v>87</v>
      </c>
      <c r="B10" s="11">
        <f>Etapa3_Mercado!B12</f>
        <v>0.03</v>
      </c>
      <c r="C10" s="4">
        <f>Etapa3_Mercado!B19*B10</f>
        <v>15.869103446250001</v>
      </c>
      <c r="D10" s="12">
        <f>IF(C10="","",C10*1000000/Etapa3_Mercado!B9)</f>
        <v>37783.579633928573</v>
      </c>
    </row>
    <row r="13" spans="1:8" ht="23" customHeight="1" x14ac:dyDescent="0.2">
      <c r="A13" s="21" t="s">
        <v>88</v>
      </c>
      <c r="B13" s="16"/>
      <c r="C13" s="16"/>
      <c r="D13" s="16"/>
    </row>
    <row r="14" spans="1:8" ht="30" x14ac:dyDescent="0.2">
      <c r="A14" s="1" t="s">
        <v>89</v>
      </c>
      <c r="B14" s="4">
        <f>Etapa3_Mercado!B19</f>
        <v>528.97011487500004</v>
      </c>
    </row>
    <row r="15" spans="1:8" x14ac:dyDescent="0.2">
      <c r="A15" s="1" t="s">
        <v>90</v>
      </c>
      <c r="B15" s="13">
        <f>Etapa3_Mercado!B9</f>
        <v>420</v>
      </c>
    </row>
    <row r="18" spans="1:7" ht="36" customHeight="1" x14ac:dyDescent="0.2">
      <c r="A18" s="17" t="s">
        <v>91</v>
      </c>
      <c r="B18" s="16"/>
      <c r="C18" s="16"/>
      <c r="D18" s="16"/>
      <c r="E18" s="16"/>
      <c r="F18" s="16"/>
      <c r="G18" s="16"/>
    </row>
    <row r="19" spans="1:7" ht="24" customHeight="1" x14ac:dyDescent="0.2">
      <c r="A19" s="18"/>
      <c r="B19" s="16"/>
      <c r="C19" s="16"/>
      <c r="D19" s="16"/>
      <c r="E19" s="16"/>
      <c r="F19" s="16"/>
      <c r="G19" s="16"/>
    </row>
    <row r="20" spans="1:7" ht="24" customHeight="1" x14ac:dyDescent="0.2">
      <c r="A20" s="16"/>
      <c r="B20" s="16"/>
      <c r="C20" s="16"/>
      <c r="D20" s="16"/>
      <c r="E20" s="16"/>
      <c r="F20" s="16"/>
      <c r="G20" s="16"/>
    </row>
    <row r="21" spans="1:7" ht="24" customHeight="1" x14ac:dyDescent="0.2">
      <c r="A21" s="16"/>
      <c r="B21" s="16"/>
      <c r="C21" s="16"/>
      <c r="D21" s="16"/>
      <c r="E21" s="16"/>
      <c r="F21" s="16"/>
      <c r="G21" s="16"/>
    </row>
    <row r="22" spans="1:7" ht="24" customHeight="1" x14ac:dyDescent="0.2">
      <c r="A22" s="16"/>
      <c r="B22" s="16"/>
      <c r="C22" s="16"/>
      <c r="D22" s="16"/>
      <c r="E22" s="16"/>
      <c r="F22" s="16"/>
      <c r="G22" s="16"/>
    </row>
    <row r="23" spans="1:7" ht="24" customHeight="1" x14ac:dyDescent="0.2">
      <c r="A23" s="16"/>
      <c r="B23" s="16"/>
      <c r="C23" s="16"/>
      <c r="D23" s="16"/>
      <c r="E23" s="16"/>
      <c r="F23" s="16"/>
      <c r="G23" s="16"/>
    </row>
    <row r="24" spans="1:7" ht="24" customHeight="1" x14ac:dyDescent="0.2">
      <c r="A24" s="16"/>
      <c r="B24" s="16"/>
      <c r="C24" s="16"/>
      <c r="D24" s="16"/>
      <c r="E24" s="16"/>
      <c r="F24" s="16"/>
      <c r="G24" s="16"/>
    </row>
    <row r="26" spans="1:7" ht="36" customHeight="1" x14ac:dyDescent="0.2">
      <c r="A26" s="17" t="s">
        <v>92</v>
      </c>
      <c r="B26" s="16"/>
      <c r="C26" s="16"/>
      <c r="D26" s="16"/>
      <c r="E26" s="16"/>
      <c r="F26" s="16"/>
      <c r="G26" s="16"/>
    </row>
    <row r="27" spans="1:7" ht="24" customHeight="1" x14ac:dyDescent="0.2">
      <c r="A27" s="18"/>
      <c r="B27" s="16"/>
      <c r="C27" s="16"/>
      <c r="D27" s="16"/>
      <c r="E27" s="16"/>
      <c r="F27" s="16"/>
      <c r="G27" s="16"/>
    </row>
    <row r="28" spans="1:7" ht="24" customHeight="1" x14ac:dyDescent="0.2">
      <c r="A28" s="16"/>
      <c r="B28" s="16"/>
      <c r="C28" s="16"/>
      <c r="D28" s="16"/>
      <c r="E28" s="16"/>
      <c r="F28" s="16"/>
      <c r="G28" s="16"/>
    </row>
    <row r="29" spans="1:7" ht="24" customHeight="1" x14ac:dyDescent="0.2">
      <c r="A29" s="16"/>
      <c r="B29" s="16"/>
      <c r="C29" s="16"/>
      <c r="D29" s="16"/>
      <c r="E29" s="16"/>
      <c r="F29" s="16"/>
      <c r="G29" s="16"/>
    </row>
    <row r="30" spans="1:7" ht="24" customHeight="1" x14ac:dyDescent="0.2">
      <c r="A30" s="16"/>
      <c r="B30" s="16"/>
      <c r="C30" s="16"/>
      <c r="D30" s="16"/>
      <c r="E30" s="16"/>
      <c r="F30" s="16"/>
      <c r="G30" s="16"/>
    </row>
  </sheetData>
  <mergeCells count="8">
    <mergeCell ref="A1:H1"/>
    <mergeCell ref="A19:G24"/>
    <mergeCell ref="A13:D13"/>
    <mergeCell ref="A27:G30"/>
    <mergeCell ref="A3:H3"/>
    <mergeCell ref="A18:G18"/>
    <mergeCell ref="A2:H2"/>
    <mergeCell ref="A26:G26"/>
  </mergeCells>
  <pageMargins left="0.35" right="0.35" top="0.55000000000000004" bottom="0.55000000000000004" header="0.5" footer="0.5"/>
  <pageSetup fitToHeight="0" orientation="landscape"/>
  <headerFooter>
    <oddHeader>&amp;C&amp;9 &amp;K0B2E4FMacroeconomía · 200 FP</oddHeader>
    <oddFooter>&amp;C&amp;8 &amp;K4B5563Laboratorio · Del dato macroeconómico al mercado de un proyecto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97316"/>
    <pageSetUpPr fitToPage="1"/>
  </sheetPr>
  <dimension ref="A1:H43"/>
  <sheetViews>
    <sheetView showGridLines="0" tabSelected="1" zoomScale="135" workbookViewId="0">
      <pane ySplit="6" topLeftCell="A7" activePane="bottomLeft" state="frozen"/>
      <selection pane="bottomLeft" activeCell="F8" sqref="F8"/>
    </sheetView>
  </sheetViews>
  <sheetFormatPr baseColWidth="10" defaultColWidth="8.83203125" defaultRowHeight="15" x14ac:dyDescent="0.2"/>
  <cols>
    <col min="1" max="2" width="20" customWidth="1"/>
    <col min="3" max="4" width="18" customWidth="1"/>
    <col min="5" max="6" width="21" customWidth="1"/>
    <col min="7" max="7" width="4" customWidth="1"/>
    <col min="8" max="8" width="22" customWidth="1"/>
  </cols>
  <sheetData>
    <row r="1" spans="1:8" ht="34" customHeight="1" x14ac:dyDescent="0.2">
      <c r="A1" s="15" t="s">
        <v>93</v>
      </c>
      <c r="B1" s="16"/>
      <c r="C1" s="16"/>
      <c r="D1" s="16"/>
      <c r="E1" s="16"/>
      <c r="F1" s="16"/>
      <c r="G1" s="16"/>
      <c r="H1" s="16"/>
    </row>
    <row r="2" spans="1:8" ht="20" customHeight="1" x14ac:dyDescent="0.2">
      <c r="A2" s="20" t="s">
        <v>94</v>
      </c>
      <c r="B2" s="16"/>
      <c r="C2" s="16"/>
      <c r="D2" s="16"/>
      <c r="E2" s="16"/>
      <c r="F2" s="16"/>
      <c r="G2" s="16"/>
      <c r="H2" s="16"/>
    </row>
    <row r="3" spans="1:8" ht="5" customHeight="1" x14ac:dyDescent="0.2">
      <c r="A3" s="19"/>
      <c r="B3" s="16"/>
      <c r="C3" s="16"/>
      <c r="D3" s="16"/>
      <c r="E3" s="16"/>
      <c r="F3" s="16"/>
      <c r="G3" s="16"/>
      <c r="H3" s="16"/>
    </row>
    <row r="7" spans="1:8" ht="30" customHeight="1" x14ac:dyDescent="0.2">
      <c r="A7" s="2" t="s">
        <v>81</v>
      </c>
      <c r="B7" s="2" t="s">
        <v>84</v>
      </c>
      <c r="C7" s="2" t="s">
        <v>95</v>
      </c>
      <c r="D7" s="2" t="s">
        <v>96</v>
      </c>
      <c r="E7" s="2" t="s">
        <v>97</v>
      </c>
      <c r="F7" s="2" t="s">
        <v>98</v>
      </c>
    </row>
    <row r="8" spans="1:8" x14ac:dyDescent="0.2">
      <c r="A8" s="1" t="s">
        <v>85</v>
      </c>
      <c r="B8" s="12">
        <f>Etapa4_Demanda!D8</f>
        <v>18891.789816964287</v>
      </c>
      <c r="C8" s="12">
        <f>Etapa3_Mercado!B13</f>
        <v>30000</v>
      </c>
      <c r="D8" s="12">
        <f>MIN(B8,C8)</f>
        <v>18891.789816964287</v>
      </c>
      <c r="E8" s="11">
        <f>IF(C8=0,"",D8/C8)</f>
        <v>0.62972632723214295</v>
      </c>
      <c r="F8" s="13">
        <f>D8*Etapa3_Mercado!B9</f>
        <v>7934551.7231250005</v>
      </c>
    </row>
    <row r="9" spans="1:8" x14ac:dyDescent="0.2">
      <c r="A9" s="1" t="s">
        <v>86</v>
      </c>
      <c r="B9" s="12">
        <f>Etapa4_Demanda!D9</f>
        <v>25189.053089285717</v>
      </c>
      <c r="C9" s="12">
        <f>Etapa3_Mercado!B13</f>
        <v>30000</v>
      </c>
      <c r="D9" s="12">
        <f>MIN(B9,C9)</f>
        <v>25189.053089285717</v>
      </c>
      <c r="E9" s="11">
        <f>IF(C9=0,"",D9/C9)</f>
        <v>0.83963510297619059</v>
      </c>
      <c r="F9" s="13">
        <f>D9*Etapa3_Mercado!B9</f>
        <v>10579402.297500001</v>
      </c>
    </row>
    <row r="10" spans="1:8" x14ac:dyDescent="0.2">
      <c r="A10" s="1" t="s">
        <v>87</v>
      </c>
      <c r="B10" s="12">
        <f>Etapa4_Demanda!D10</f>
        <v>37783.579633928573</v>
      </c>
      <c r="C10" s="12">
        <f>Etapa3_Mercado!B13</f>
        <v>30000</v>
      </c>
      <c r="D10" s="12">
        <f>MIN(B10,C10)</f>
        <v>30000</v>
      </c>
      <c r="E10" s="11">
        <f>IF(C10=0,"",D10/C10)</f>
        <v>1</v>
      </c>
      <c r="F10" s="13">
        <f>D10*Etapa3_Mercado!B9</f>
        <v>12600000</v>
      </c>
    </row>
    <row r="31" spans="1:6" ht="36" customHeight="1" x14ac:dyDescent="0.2">
      <c r="A31" s="17" t="s">
        <v>99</v>
      </c>
      <c r="B31" s="16"/>
      <c r="C31" s="16"/>
      <c r="D31" s="16"/>
      <c r="E31" s="16"/>
      <c r="F31" s="16"/>
    </row>
    <row r="32" spans="1:6" ht="24" customHeight="1" x14ac:dyDescent="0.2">
      <c r="A32" s="18"/>
      <c r="B32" s="16"/>
      <c r="C32" s="16"/>
      <c r="D32" s="16"/>
      <c r="E32" s="16"/>
      <c r="F32" s="16"/>
    </row>
    <row r="33" spans="1:6" ht="24" customHeight="1" x14ac:dyDescent="0.2">
      <c r="A33" s="16"/>
      <c r="B33" s="16"/>
      <c r="C33" s="16"/>
      <c r="D33" s="16"/>
      <c r="E33" s="16"/>
      <c r="F33" s="16"/>
    </row>
    <row r="34" spans="1:6" ht="24" customHeight="1" x14ac:dyDescent="0.2">
      <c r="A34" s="16"/>
      <c r="B34" s="16"/>
      <c r="C34" s="16"/>
      <c r="D34" s="16"/>
      <c r="E34" s="16"/>
      <c r="F34" s="16"/>
    </row>
    <row r="35" spans="1:6" ht="24" customHeight="1" x14ac:dyDescent="0.2">
      <c r="A35" s="16"/>
      <c r="B35" s="16"/>
      <c r="C35" s="16"/>
      <c r="D35" s="16"/>
      <c r="E35" s="16"/>
      <c r="F35" s="16"/>
    </row>
    <row r="36" spans="1:6" ht="24" customHeight="1" x14ac:dyDescent="0.2">
      <c r="A36" s="16"/>
      <c r="B36" s="16"/>
      <c r="C36" s="16"/>
      <c r="D36" s="16"/>
      <c r="E36" s="16"/>
      <c r="F36" s="16"/>
    </row>
    <row r="37" spans="1:6" ht="24" customHeight="1" x14ac:dyDescent="0.2">
      <c r="A37" s="16"/>
      <c r="B37" s="16"/>
      <c r="C37" s="16"/>
      <c r="D37" s="16"/>
      <c r="E37" s="16"/>
      <c r="F37" s="16"/>
    </row>
    <row r="39" spans="1:6" ht="36" customHeight="1" x14ac:dyDescent="0.2">
      <c r="A39" s="17" t="s">
        <v>100</v>
      </c>
      <c r="B39" s="16"/>
      <c r="C39" s="16"/>
      <c r="D39" s="16"/>
      <c r="E39" s="16"/>
      <c r="F39" s="16"/>
    </row>
    <row r="40" spans="1:6" ht="24" customHeight="1" x14ac:dyDescent="0.2">
      <c r="A40" s="18"/>
      <c r="B40" s="16"/>
      <c r="C40" s="16"/>
      <c r="D40" s="16"/>
      <c r="E40" s="16"/>
      <c r="F40" s="16"/>
    </row>
    <row r="41" spans="1:6" ht="24" customHeight="1" x14ac:dyDescent="0.2">
      <c r="A41" s="16"/>
      <c r="B41" s="16"/>
      <c r="C41" s="16"/>
      <c r="D41" s="16"/>
      <c r="E41" s="16"/>
      <c r="F41" s="16"/>
    </row>
    <row r="42" spans="1:6" ht="24" customHeight="1" x14ac:dyDescent="0.2">
      <c r="A42" s="16"/>
      <c r="B42" s="16"/>
      <c r="C42" s="16"/>
      <c r="D42" s="16"/>
      <c r="E42" s="16"/>
      <c r="F42" s="16"/>
    </row>
    <row r="43" spans="1:6" ht="24" customHeight="1" x14ac:dyDescent="0.2">
      <c r="A43" s="16"/>
      <c r="B43" s="16"/>
      <c r="C43" s="16"/>
      <c r="D43" s="16"/>
      <c r="E43" s="16"/>
      <c r="F43" s="16"/>
    </row>
  </sheetData>
  <mergeCells count="7">
    <mergeCell ref="A40:F43"/>
    <mergeCell ref="A31:F31"/>
    <mergeCell ref="A1:H1"/>
    <mergeCell ref="A39:F39"/>
    <mergeCell ref="A3:H3"/>
    <mergeCell ref="A2:H2"/>
    <mergeCell ref="A32:F37"/>
  </mergeCells>
  <pageMargins left="0.35" right="0.35" top="0.55000000000000004" bottom="0.55000000000000004" header="0.5" footer="0.5"/>
  <pageSetup fitToHeight="0" orientation="landscape"/>
  <headerFooter>
    <oddHeader>&amp;C&amp;9 &amp;K0B2E4FMacroeconomía · 200 FP</oddHeader>
    <oddFooter>&amp;C&amp;8 &amp;K4B5563Laboratorio · Del dato macroeconómico al mercado de un proyecto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B2E4F"/>
    <pageSetUpPr fitToPage="1"/>
  </sheetPr>
  <dimension ref="A1:H56"/>
  <sheetViews>
    <sheetView showGridLines="0" workbookViewId="0">
      <pane ySplit="5" topLeftCell="A6" activePane="bottomLeft" state="frozen"/>
      <selection pane="bottomLeft" sqref="A1:H1"/>
    </sheetView>
  </sheetViews>
  <sheetFormatPr baseColWidth="10" defaultColWidth="8.83203125" defaultRowHeight="15" x14ac:dyDescent="0.2"/>
  <cols>
    <col min="1" max="1" width="25" customWidth="1"/>
    <col min="2" max="7" width="20" customWidth="1"/>
    <col min="8" max="8" width="14" customWidth="1"/>
  </cols>
  <sheetData>
    <row r="1" spans="1:8" ht="34" customHeight="1" x14ac:dyDescent="0.2">
      <c r="A1" s="15" t="s">
        <v>101</v>
      </c>
      <c r="B1" s="16"/>
      <c r="C1" s="16"/>
      <c r="D1" s="16"/>
      <c r="E1" s="16"/>
      <c r="F1" s="16"/>
      <c r="G1" s="16"/>
      <c r="H1" s="16"/>
    </row>
    <row r="2" spans="1:8" ht="20" customHeight="1" x14ac:dyDescent="0.2">
      <c r="A2" s="20" t="s">
        <v>102</v>
      </c>
      <c r="B2" s="16"/>
      <c r="C2" s="16"/>
      <c r="D2" s="16"/>
      <c r="E2" s="16"/>
      <c r="F2" s="16"/>
      <c r="G2" s="16"/>
      <c r="H2" s="16"/>
    </row>
    <row r="3" spans="1:8" ht="5" customHeight="1" x14ac:dyDescent="0.2">
      <c r="A3" s="19"/>
      <c r="B3" s="16"/>
      <c r="C3" s="16"/>
      <c r="D3" s="16"/>
      <c r="E3" s="16"/>
      <c r="F3" s="16"/>
      <c r="G3" s="16"/>
      <c r="H3" s="16"/>
    </row>
    <row r="6" spans="1:8" ht="23" customHeight="1" x14ac:dyDescent="0.2">
      <c r="A6" s="21" t="s">
        <v>103</v>
      </c>
      <c r="B6" s="16"/>
      <c r="C6" s="16"/>
      <c r="D6" s="16"/>
      <c r="E6" s="16"/>
      <c r="F6" s="16"/>
      <c r="G6" s="16"/>
      <c r="H6" s="16"/>
    </row>
    <row r="7" spans="1:8" x14ac:dyDescent="0.2">
      <c r="A7" s="38" t="s">
        <v>104</v>
      </c>
      <c r="B7" s="16"/>
      <c r="C7" s="16"/>
      <c r="D7" s="4">
        <f>Etapa3_Mercado!B17</f>
        <v>7052.9348650000002</v>
      </c>
    </row>
    <row r="8" spans="1:8" x14ac:dyDescent="0.2">
      <c r="A8" s="38" t="s">
        <v>89</v>
      </c>
      <c r="B8" s="16"/>
      <c r="C8" s="16"/>
      <c r="D8" s="4">
        <f>Etapa3_Mercado!B19</f>
        <v>528.97011487500004</v>
      </c>
    </row>
    <row r="9" spans="1:8" x14ac:dyDescent="0.2">
      <c r="A9" s="38" t="s">
        <v>105</v>
      </c>
      <c r="B9" s="16"/>
      <c r="C9" s="16"/>
      <c r="D9" s="12">
        <f>Etapa4_Demanda!D8</f>
        <v>18891.789816964287</v>
      </c>
    </row>
    <row r="10" spans="1:8" x14ac:dyDescent="0.2">
      <c r="A10" s="38" t="s">
        <v>106</v>
      </c>
      <c r="B10" s="16"/>
      <c r="C10" s="16"/>
      <c r="D10" s="12">
        <f>Etapa4_Demanda!D9</f>
        <v>25189.053089285717</v>
      </c>
    </row>
    <row r="11" spans="1:8" x14ac:dyDescent="0.2">
      <c r="A11" s="38" t="s">
        <v>107</v>
      </c>
      <c r="B11" s="16"/>
      <c r="C11" s="16"/>
      <c r="D11" s="12">
        <f>Etapa4_Demanda!D10</f>
        <v>37783.579633928573</v>
      </c>
    </row>
    <row r="12" spans="1:8" x14ac:dyDescent="0.2">
      <c r="A12" s="38" t="s">
        <v>108</v>
      </c>
      <c r="B12" s="16"/>
      <c r="C12" s="16"/>
      <c r="D12" s="12">
        <f>Etapa3_Mercado!B13</f>
        <v>30000</v>
      </c>
    </row>
    <row r="15" spans="1:8" ht="23" customHeight="1" x14ac:dyDescent="0.2">
      <c r="A15" s="21" t="s">
        <v>109</v>
      </c>
      <c r="B15" s="16"/>
      <c r="C15" s="16"/>
      <c r="D15" s="16"/>
      <c r="E15" s="16"/>
      <c r="F15" s="16"/>
      <c r="G15" s="16"/>
      <c r="H15" s="16"/>
    </row>
    <row r="16" spans="1:8" x14ac:dyDescent="0.2">
      <c r="A16" s="40"/>
      <c r="B16" s="16"/>
      <c r="C16" s="16"/>
      <c r="D16" s="16"/>
      <c r="E16" s="16"/>
      <c r="F16" s="16"/>
      <c r="G16" s="16"/>
      <c r="H16" s="16"/>
    </row>
    <row r="17" spans="1:8" x14ac:dyDescent="0.2">
      <c r="A17" s="16"/>
      <c r="B17" s="16"/>
      <c r="C17" s="16"/>
      <c r="D17" s="16"/>
      <c r="E17" s="16"/>
      <c r="F17" s="16"/>
      <c r="G17" s="16"/>
      <c r="H17" s="16"/>
    </row>
    <row r="18" spans="1:8" x14ac:dyDescent="0.2">
      <c r="A18" s="16"/>
      <c r="B18" s="16"/>
      <c r="C18" s="16"/>
      <c r="D18" s="16"/>
      <c r="E18" s="16"/>
      <c r="F18" s="16"/>
      <c r="G18" s="16"/>
      <c r="H18" s="16"/>
    </row>
    <row r="19" spans="1:8" x14ac:dyDescent="0.2">
      <c r="A19" s="16"/>
      <c r="B19" s="16"/>
      <c r="C19" s="16"/>
      <c r="D19" s="16"/>
      <c r="E19" s="16"/>
      <c r="F19" s="16"/>
      <c r="G19" s="16"/>
      <c r="H19" s="16"/>
    </row>
    <row r="20" spans="1:8" x14ac:dyDescent="0.2">
      <c r="A20" s="16"/>
      <c r="B20" s="16"/>
      <c r="C20" s="16"/>
      <c r="D20" s="16"/>
      <c r="E20" s="16"/>
      <c r="F20" s="16"/>
      <c r="G20" s="16"/>
      <c r="H20" s="16"/>
    </row>
    <row r="21" spans="1:8" x14ac:dyDescent="0.2">
      <c r="A21" s="16"/>
      <c r="B21" s="16"/>
      <c r="C21" s="16"/>
      <c r="D21" s="16"/>
      <c r="E21" s="16"/>
      <c r="F21" s="16"/>
      <c r="G21" s="16"/>
      <c r="H21" s="16"/>
    </row>
    <row r="22" spans="1:8" x14ac:dyDescent="0.2">
      <c r="A22" s="16"/>
      <c r="B22" s="16"/>
      <c r="C22" s="16"/>
      <c r="D22" s="16"/>
      <c r="E22" s="16"/>
      <c r="F22" s="16"/>
      <c r="G22" s="16"/>
      <c r="H22" s="16"/>
    </row>
    <row r="23" spans="1:8" x14ac:dyDescent="0.2">
      <c r="A23" s="16"/>
      <c r="B23" s="16"/>
      <c r="C23" s="16"/>
      <c r="D23" s="16"/>
      <c r="E23" s="16"/>
      <c r="F23" s="16"/>
      <c r="G23" s="16"/>
      <c r="H23" s="16"/>
    </row>
    <row r="24" spans="1:8" x14ac:dyDescent="0.2">
      <c r="A24" s="16"/>
      <c r="B24" s="16"/>
      <c r="C24" s="16"/>
      <c r="D24" s="16"/>
      <c r="E24" s="16"/>
      <c r="F24" s="16"/>
      <c r="G24" s="16"/>
      <c r="H24" s="16"/>
    </row>
    <row r="25" spans="1:8" x14ac:dyDescent="0.2">
      <c r="A25" s="16"/>
      <c r="B25" s="16"/>
      <c r="C25" s="16"/>
      <c r="D25" s="16"/>
      <c r="E25" s="16"/>
      <c r="F25" s="16"/>
      <c r="G25" s="16"/>
      <c r="H25" s="16"/>
    </row>
    <row r="26" spans="1:8" x14ac:dyDescent="0.2">
      <c r="A26" s="16"/>
      <c r="B26" s="16"/>
      <c r="C26" s="16"/>
      <c r="D26" s="16"/>
      <c r="E26" s="16"/>
      <c r="F26" s="16"/>
      <c r="G26" s="16"/>
      <c r="H26" s="16"/>
    </row>
    <row r="27" spans="1:8" x14ac:dyDescent="0.2">
      <c r="A27" s="16"/>
      <c r="B27" s="16"/>
      <c r="C27" s="16"/>
      <c r="D27" s="16"/>
      <c r="E27" s="16"/>
      <c r="F27" s="16"/>
      <c r="G27" s="16"/>
      <c r="H27" s="16"/>
    </row>
    <row r="28" spans="1:8" x14ac:dyDescent="0.2">
      <c r="F28" s="41" t="s">
        <v>110</v>
      </c>
      <c r="G28" s="16"/>
      <c r="H28" s="14" t="str">
        <f>IF(A16="","",LEN(TRIM(A16))-LEN(SUBSTITUTE(TRIM(A16)," ",""))+1)</f>
        <v/>
      </c>
    </row>
    <row r="31" spans="1:8" ht="23" customHeight="1" x14ac:dyDescent="0.2">
      <c r="A31" s="21" t="s">
        <v>111</v>
      </c>
      <c r="B31" s="16"/>
      <c r="C31" s="16"/>
      <c r="D31" s="16"/>
      <c r="E31" s="16"/>
      <c r="F31" s="16"/>
      <c r="G31" s="16"/>
      <c r="H31" s="16"/>
    </row>
    <row r="32" spans="1:8" ht="36" customHeight="1" x14ac:dyDescent="0.2">
      <c r="A32" s="17" t="s">
        <v>112</v>
      </c>
      <c r="B32" s="16"/>
      <c r="C32" s="16"/>
      <c r="D32" s="16"/>
      <c r="E32" s="16"/>
      <c r="F32" s="16"/>
      <c r="G32" s="16"/>
      <c r="H32" s="16"/>
    </row>
    <row r="33" spans="1:8" ht="24" customHeight="1" x14ac:dyDescent="0.2">
      <c r="A33" s="18"/>
      <c r="B33" s="16"/>
      <c r="C33" s="16"/>
      <c r="D33" s="16"/>
      <c r="E33" s="16"/>
      <c r="F33" s="16"/>
      <c r="G33" s="16"/>
      <c r="H33" s="16"/>
    </row>
    <row r="34" spans="1:8" ht="24" customHeight="1" x14ac:dyDescent="0.2">
      <c r="A34" s="16"/>
      <c r="B34" s="16"/>
      <c r="C34" s="16"/>
      <c r="D34" s="16"/>
      <c r="E34" s="16"/>
      <c r="F34" s="16"/>
      <c r="G34" s="16"/>
      <c r="H34" s="16"/>
    </row>
    <row r="35" spans="1:8" ht="24" customHeight="1" x14ac:dyDescent="0.2">
      <c r="A35" s="16"/>
      <c r="B35" s="16"/>
      <c r="C35" s="16"/>
      <c r="D35" s="16"/>
      <c r="E35" s="16"/>
      <c r="F35" s="16"/>
      <c r="G35" s="16"/>
      <c r="H35" s="16"/>
    </row>
    <row r="37" spans="1:8" ht="36" customHeight="1" x14ac:dyDescent="0.2">
      <c r="A37" s="17" t="s">
        <v>113</v>
      </c>
      <c r="B37" s="16"/>
      <c r="C37" s="16"/>
      <c r="D37" s="16"/>
      <c r="E37" s="16"/>
      <c r="F37" s="16"/>
      <c r="G37" s="16"/>
      <c r="H37" s="16"/>
    </row>
    <row r="38" spans="1:8" ht="24" customHeight="1" x14ac:dyDescent="0.2">
      <c r="A38" s="18"/>
      <c r="B38" s="16"/>
      <c r="C38" s="16"/>
      <c r="D38" s="16"/>
      <c r="E38" s="16"/>
      <c r="F38" s="16"/>
      <c r="G38" s="16"/>
      <c r="H38" s="16"/>
    </row>
    <row r="39" spans="1:8" ht="24" customHeight="1" x14ac:dyDescent="0.2">
      <c r="A39" s="16"/>
      <c r="B39" s="16"/>
      <c r="C39" s="16"/>
      <c r="D39" s="16"/>
      <c r="E39" s="16"/>
      <c r="F39" s="16"/>
      <c r="G39" s="16"/>
      <c r="H39" s="16"/>
    </row>
    <row r="40" spans="1:8" ht="24" customHeight="1" x14ac:dyDescent="0.2">
      <c r="A40" s="16"/>
      <c r="B40" s="16"/>
      <c r="C40" s="16"/>
      <c r="D40" s="16"/>
      <c r="E40" s="16"/>
      <c r="F40" s="16"/>
      <c r="G40" s="16"/>
      <c r="H40" s="16"/>
    </row>
    <row r="42" spans="1:8" ht="36" customHeight="1" x14ac:dyDescent="0.2">
      <c r="A42" s="17" t="s">
        <v>114</v>
      </c>
      <c r="B42" s="16"/>
      <c r="C42" s="16"/>
      <c r="D42" s="16"/>
      <c r="E42" s="16"/>
      <c r="F42" s="16"/>
      <c r="G42" s="16"/>
      <c r="H42" s="16"/>
    </row>
    <row r="43" spans="1:8" ht="24" customHeight="1" x14ac:dyDescent="0.2">
      <c r="A43" s="18"/>
      <c r="B43" s="16"/>
      <c r="C43" s="16"/>
      <c r="D43" s="16"/>
      <c r="E43" s="16"/>
      <c r="F43" s="16"/>
      <c r="G43" s="16"/>
      <c r="H43" s="16"/>
    </row>
    <row r="44" spans="1:8" ht="24" customHeight="1" x14ac:dyDescent="0.2">
      <c r="A44" s="16"/>
      <c r="B44" s="16"/>
      <c r="C44" s="16"/>
      <c r="D44" s="16"/>
      <c r="E44" s="16"/>
      <c r="F44" s="16"/>
      <c r="G44" s="16"/>
      <c r="H44" s="16"/>
    </row>
    <row r="45" spans="1:8" ht="24" customHeight="1" x14ac:dyDescent="0.2">
      <c r="A45" s="16"/>
      <c r="B45" s="16"/>
      <c r="C45" s="16"/>
      <c r="D45" s="16"/>
      <c r="E45" s="16"/>
      <c r="F45" s="16"/>
      <c r="G45" s="16"/>
      <c r="H45" s="16"/>
    </row>
    <row r="47" spans="1:8" ht="36" customHeight="1" x14ac:dyDescent="0.2">
      <c r="A47" s="17" t="s">
        <v>115</v>
      </c>
      <c r="B47" s="16"/>
      <c r="C47" s="16"/>
      <c r="D47" s="16"/>
      <c r="E47" s="16"/>
      <c r="F47" s="16"/>
      <c r="G47" s="16"/>
      <c r="H47" s="16"/>
    </row>
    <row r="48" spans="1:8" ht="24" customHeight="1" x14ac:dyDescent="0.2">
      <c r="A48" s="18"/>
      <c r="B48" s="16"/>
      <c r="C48" s="16"/>
      <c r="D48" s="16"/>
      <c r="E48" s="16"/>
      <c r="F48" s="16"/>
      <c r="G48" s="16"/>
      <c r="H48" s="16"/>
    </row>
    <row r="49" spans="1:8" ht="24" customHeight="1" x14ac:dyDescent="0.2">
      <c r="A49" s="16"/>
      <c r="B49" s="16"/>
      <c r="C49" s="16"/>
      <c r="D49" s="16"/>
      <c r="E49" s="16"/>
      <c r="F49" s="16"/>
      <c r="G49" s="16"/>
      <c r="H49" s="16"/>
    </row>
    <row r="50" spans="1:8" ht="24" customHeight="1" x14ac:dyDescent="0.2">
      <c r="A50" s="16"/>
      <c r="B50" s="16"/>
      <c r="C50" s="16"/>
      <c r="D50" s="16"/>
      <c r="E50" s="16"/>
      <c r="F50" s="16"/>
      <c r="G50" s="16"/>
      <c r="H50" s="16"/>
    </row>
    <row r="53" spans="1:8" ht="23" customHeight="1" x14ac:dyDescent="0.2">
      <c r="A53" s="21" t="s">
        <v>116</v>
      </c>
      <c r="B53" s="16"/>
      <c r="C53" s="16"/>
      <c r="D53" s="16"/>
      <c r="E53" s="16"/>
      <c r="F53" s="16"/>
      <c r="G53" s="16"/>
      <c r="H53" s="16"/>
    </row>
    <row r="54" spans="1:8" x14ac:dyDescent="0.2">
      <c r="A54" s="39" t="s">
        <v>117</v>
      </c>
      <c r="B54" s="16"/>
      <c r="C54" s="16"/>
      <c r="D54" s="16"/>
      <c r="E54" s="16"/>
      <c r="F54" s="16"/>
      <c r="G54" s="16"/>
      <c r="H54" s="16"/>
    </row>
    <row r="55" spans="1:8" x14ac:dyDescent="0.2">
      <c r="A55" s="16"/>
      <c r="B55" s="16"/>
      <c r="C55" s="16"/>
      <c r="D55" s="16"/>
      <c r="E55" s="16"/>
      <c r="F55" s="16"/>
      <c r="G55" s="16"/>
      <c r="H55" s="16"/>
    </row>
    <row r="56" spans="1:8" x14ac:dyDescent="0.2">
      <c r="A56" s="16"/>
      <c r="B56" s="16"/>
      <c r="C56" s="16"/>
      <c r="D56" s="16"/>
      <c r="E56" s="16"/>
      <c r="F56" s="16"/>
      <c r="G56" s="16"/>
      <c r="H56" s="16"/>
    </row>
  </sheetData>
  <mergeCells count="24">
    <mergeCell ref="A43:H45"/>
    <mergeCell ref="A15:H15"/>
    <mergeCell ref="A1:H1"/>
    <mergeCell ref="A12:C12"/>
    <mergeCell ref="A6:H6"/>
    <mergeCell ref="A3:H3"/>
    <mergeCell ref="A2:H2"/>
    <mergeCell ref="A7:C7"/>
    <mergeCell ref="A48:H50"/>
    <mergeCell ref="A8:C8"/>
    <mergeCell ref="A54:H56"/>
    <mergeCell ref="A37:H37"/>
    <mergeCell ref="A16:H27"/>
    <mergeCell ref="A10:C10"/>
    <mergeCell ref="A42:H42"/>
    <mergeCell ref="A9:C9"/>
    <mergeCell ref="F28:G28"/>
    <mergeCell ref="A47:H47"/>
    <mergeCell ref="A32:H32"/>
    <mergeCell ref="A11:C11"/>
    <mergeCell ref="A53:H53"/>
    <mergeCell ref="A33:H35"/>
    <mergeCell ref="A38:H40"/>
    <mergeCell ref="A31:H31"/>
  </mergeCells>
  <pageMargins left="0.35" right="0.35" top="0.55000000000000004" bottom="0.55000000000000004" header="0.5" footer="0.5"/>
  <pageSetup fitToHeight="0" orientation="portrait"/>
  <headerFooter>
    <oddHeader>&amp;C&amp;9 &amp;K0B2E4FMacroeconomía · 200 FP</oddHeader>
    <oddFooter>&amp;C&amp;8 &amp;K4B5563Laboratorio · Del dato macroeconómico al mercado de un proyecto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Inicio</vt:lpstr>
      <vt:lpstr>Etapa1_Datos</vt:lpstr>
      <vt:lpstr>Etapa2_Evolucion</vt:lpstr>
      <vt:lpstr>Etapa3_Mercado</vt:lpstr>
      <vt:lpstr>Etapa4_Demanda</vt:lpstr>
      <vt:lpstr>Etapa5_Capacidad</vt:lpstr>
      <vt:lpstr>Etapa6_Informe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PAULO AUGUSTO GARRIDO GRIJALVA</cp:lastModifiedBy>
  <dcterms:created xsi:type="dcterms:W3CDTF">2026-08-22T05:20:20Z</dcterms:created>
  <dcterms:modified xsi:type="dcterms:W3CDTF">2026-09-05T21:00:55Z</dcterms:modified>
</cp:coreProperties>
</file>